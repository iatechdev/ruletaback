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dministrador/Desktop/simulacion/"/>
    </mc:Choice>
  </mc:AlternateContent>
  <xr:revisionPtr revIDLastSave="0" documentId="13_ncr:1_{BE8DE565-7600-CB4B-BD8F-B9D190C43CCB}" xr6:coauthVersionLast="45" xr6:coauthVersionMax="45" xr10:uidLastSave="{00000000-0000-0000-0000-000000000000}"/>
  <bookViews>
    <workbookView xWindow="0" yWindow="460" windowWidth="38400" windowHeight="20000" activeTab="5" xr2:uid="{00000000-000D-0000-FFFF-FFFF00000000}"/>
  </bookViews>
  <sheets>
    <sheet name="Pi E  1" sheetId="2" r:id="rId1"/>
    <sheet name="WALLIS" sheetId="4" r:id="rId2"/>
    <sheet name="LEIBINZ" sheetId="5" r:id="rId3"/>
    <sheet name="EULER" sheetId="3" r:id="rId4"/>
    <sheet name="PUNTO2" sheetId="6" r:id="rId5"/>
    <sheet name="SIMULACION CONTINUA" sheetId="7" r:id="rId6"/>
  </sheets>
  <definedNames>
    <definedName name="_xlchart.v1.0" hidden="1">'SIMULACION CONTINUA'!$A$14</definedName>
    <definedName name="_xlchart.v1.1" hidden="1">'SIMULACION CONTINUA'!$A$15:$A$66</definedName>
    <definedName name="_xlchart.v1.10" hidden="1">'SIMULACION CONTINUA'!$F$14</definedName>
    <definedName name="_xlchart.v1.11" hidden="1">'SIMULACION CONTINUA'!$F$15:$F$66</definedName>
    <definedName name="_xlchart.v1.12" hidden="1">'SIMULACION CONTINUA'!$G$14</definedName>
    <definedName name="_xlchart.v1.13" hidden="1">'SIMULACION CONTINUA'!$G$15:$G$66</definedName>
    <definedName name="_xlchart.v1.14" hidden="1">'SIMULACION CONTINUA'!$A$14</definedName>
    <definedName name="_xlchart.v1.15" hidden="1">'SIMULACION CONTINUA'!$A$15:$A$66</definedName>
    <definedName name="_xlchart.v1.16" hidden="1">'SIMULACION CONTINUA'!$B$14</definedName>
    <definedName name="_xlchart.v1.17" hidden="1">'SIMULACION CONTINUA'!$B$15:$B$66</definedName>
    <definedName name="_xlchart.v1.18" hidden="1">'SIMULACION CONTINUA'!$C$14</definedName>
    <definedName name="_xlchart.v1.19" hidden="1">'SIMULACION CONTINUA'!$C$15:$C$66</definedName>
    <definedName name="_xlchart.v1.2" hidden="1">'SIMULACION CONTINUA'!$B$14</definedName>
    <definedName name="_xlchart.v1.20" hidden="1">'SIMULACION CONTINUA'!$D$14</definedName>
    <definedName name="_xlchart.v1.21" hidden="1">'SIMULACION CONTINUA'!$D$15:$D$66</definedName>
    <definedName name="_xlchart.v1.22" hidden="1">'SIMULACION CONTINUA'!$E$14</definedName>
    <definedName name="_xlchart.v1.23" hidden="1">'SIMULACION CONTINUA'!$E$15:$E$66</definedName>
    <definedName name="_xlchart.v1.24" hidden="1">'SIMULACION CONTINUA'!$F$14</definedName>
    <definedName name="_xlchart.v1.25" hidden="1">'SIMULACION CONTINUA'!$F$15:$F$66</definedName>
    <definedName name="_xlchart.v1.26" hidden="1">'SIMULACION CONTINUA'!$G$14</definedName>
    <definedName name="_xlchart.v1.27" hidden="1">'SIMULACION CONTINUA'!$G$15:$G$66</definedName>
    <definedName name="_xlchart.v1.3" hidden="1">'SIMULACION CONTINUA'!$B$15:$B$66</definedName>
    <definedName name="_xlchart.v1.4" hidden="1">'SIMULACION CONTINUA'!$C$14</definedName>
    <definedName name="_xlchart.v1.5" hidden="1">'SIMULACION CONTINUA'!$C$15:$C$66</definedName>
    <definedName name="_xlchart.v1.6" hidden="1">'SIMULACION CONTINUA'!$D$14</definedName>
    <definedName name="_xlchart.v1.7" hidden="1">'SIMULACION CONTINUA'!$D$15:$D$66</definedName>
    <definedName name="_xlchart.v1.8" hidden="1">'SIMULACION CONTINUA'!$E$14</definedName>
    <definedName name="_xlchart.v1.9" hidden="1">'SIMULACION CONTINUA'!$E$15:$E$66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7" l="1"/>
  <c r="C15" i="7"/>
  <c r="B37" i="6" l="1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C8" i="4"/>
  <c r="C16" i="4"/>
  <c r="C24" i="4"/>
  <c r="C36" i="4"/>
  <c r="B5" i="4"/>
  <c r="C5" i="4" s="1"/>
  <c r="B6" i="4"/>
  <c r="C6" i="4" s="1"/>
  <c r="B7" i="4"/>
  <c r="C7" i="4" s="1"/>
  <c r="B8" i="4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B17" i="4"/>
  <c r="C17" i="4" s="1"/>
  <c r="B18" i="4"/>
  <c r="C18" i="4" s="1"/>
  <c r="B19" i="4"/>
  <c r="C19" i="4" s="1"/>
  <c r="B20" i="4"/>
  <c r="C20" i="4" s="1"/>
  <c r="B21" i="4"/>
  <c r="C21" i="4" s="1"/>
  <c r="B22" i="4"/>
  <c r="C22" i="4" s="1"/>
  <c r="B23" i="4"/>
  <c r="C23" i="4" s="1"/>
  <c r="B24" i="4"/>
  <c r="B25" i="4"/>
  <c r="C25" i="4" s="1"/>
  <c r="B26" i="4"/>
  <c r="C26" i="4" s="1"/>
  <c r="B27" i="4"/>
  <c r="C27" i="4" s="1"/>
  <c r="B28" i="4"/>
  <c r="C28" i="4" s="1"/>
  <c r="B29" i="4"/>
  <c r="C29" i="4" s="1"/>
  <c r="B30" i="4"/>
  <c r="C30" i="4" s="1"/>
  <c r="B31" i="4"/>
  <c r="C31" i="4" s="1"/>
  <c r="B32" i="4"/>
  <c r="C32" i="4" s="1"/>
  <c r="B33" i="4"/>
  <c r="C33" i="4" s="1"/>
  <c r="B34" i="4"/>
  <c r="C34" i="4" s="1"/>
  <c r="B35" i="4"/>
  <c r="C35" i="4" s="1"/>
  <c r="B36" i="4"/>
  <c r="B37" i="4"/>
  <c r="C37" i="4" s="1"/>
  <c r="B38" i="4"/>
  <c r="C38" i="4" s="1"/>
  <c r="B44" i="5"/>
  <c r="B45" i="5"/>
  <c r="B46" i="5"/>
  <c r="B47" i="5"/>
  <c r="B48" i="5"/>
  <c r="B49" i="5"/>
  <c r="B50" i="5"/>
  <c r="B51" i="5"/>
  <c r="B52" i="5"/>
  <c r="B53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D43" i="5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C44" i="5" l="1"/>
  <c r="D44" i="5" s="1"/>
  <c r="D4" i="5"/>
  <c r="C45" i="5"/>
  <c r="C46" i="5" s="1"/>
  <c r="D45" i="5"/>
  <c r="D41" i="5"/>
  <c r="D33" i="5"/>
  <c r="D29" i="5"/>
  <c r="D25" i="5"/>
  <c r="D21" i="5"/>
  <c r="D17" i="5"/>
  <c r="D13" i="5"/>
  <c r="D9" i="5"/>
  <c r="D5" i="5"/>
  <c r="D40" i="5"/>
  <c r="D28" i="5"/>
  <c r="D24" i="5"/>
  <c r="D12" i="5"/>
  <c r="D8" i="5"/>
  <c r="D32" i="5"/>
  <c r="D16" i="5"/>
  <c r="D39" i="5"/>
  <c r="D35" i="5"/>
  <c r="D31" i="5"/>
  <c r="D27" i="5"/>
  <c r="D23" i="5"/>
  <c r="D19" i="5"/>
  <c r="D15" i="5"/>
  <c r="D11" i="5"/>
  <c r="D7" i="5"/>
  <c r="D37" i="5"/>
  <c r="D36" i="5"/>
  <c r="D20" i="5"/>
  <c r="D42" i="5"/>
  <c r="D38" i="5"/>
  <c r="D34" i="5"/>
  <c r="D30" i="5"/>
  <c r="D26" i="5"/>
  <c r="D22" i="5"/>
  <c r="D18" i="5"/>
  <c r="D14" i="5"/>
  <c r="D10" i="5"/>
  <c r="D6" i="5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J6" i="6" l="1"/>
  <c r="D46" i="5"/>
  <c r="C47" i="5"/>
  <c r="B6" i="6"/>
  <c r="C37" i="6"/>
  <c r="C38" i="6"/>
  <c r="C39" i="6"/>
  <c r="C40" i="6"/>
  <c r="C41" i="6"/>
  <c r="C42" i="6"/>
  <c r="C43" i="6"/>
  <c r="C44" i="6"/>
  <c r="C45" i="6"/>
  <c r="C46" i="6"/>
  <c r="C47" i="6"/>
  <c r="C36" i="6"/>
  <c r="D47" i="5" l="1"/>
  <c r="C48" i="5"/>
  <c r="D36" i="6"/>
  <c r="C6" i="6"/>
  <c r="B4" i="5"/>
  <c r="C4" i="3"/>
  <c r="B42" i="3"/>
  <c r="B43" i="3"/>
  <c r="B44" i="3"/>
  <c r="B45" i="3"/>
  <c r="B46" i="3"/>
  <c r="B47" i="3"/>
  <c r="B48" i="3"/>
  <c r="B49" i="3"/>
  <c r="B50" i="3"/>
  <c r="B51" i="3"/>
  <c r="B52" i="3"/>
  <c r="B53" i="3"/>
  <c r="B4" i="4"/>
  <c r="C4" i="4" s="1"/>
  <c r="D37" i="6" l="1"/>
  <c r="E36" i="6" a="1"/>
  <c r="E36" i="6" s="1"/>
  <c r="F36" i="6" s="1" a="1"/>
  <c r="F36" i="6" s="1"/>
  <c r="B9" i="6" a="1"/>
  <c r="B9" i="6" s="1"/>
  <c r="D6" i="6"/>
  <c r="A9" i="6" a="1"/>
  <c r="A9" i="6" s="1"/>
  <c r="E37" i="6" a="1"/>
  <c r="E37" i="6" s="1"/>
  <c r="F37" i="6" s="1" a="1"/>
  <c r="F37" i="6" s="1"/>
  <c r="D48" i="5"/>
  <c r="C49" i="5"/>
  <c r="D4" i="3"/>
  <c r="C5" i="3"/>
  <c r="M14" i="2"/>
  <c r="M15" i="2"/>
  <c r="M16" i="2"/>
  <c r="M17" i="2" s="1"/>
  <c r="M18" i="2" s="1"/>
  <c r="D38" i="6" l="1"/>
  <c r="D49" i="5"/>
  <c r="C50" i="5"/>
  <c r="C6" i="3"/>
  <c r="D5" i="3"/>
  <c r="E38" i="6" l="1" a="1"/>
  <c r="E38" i="6" s="1"/>
  <c r="F38" i="6" s="1" a="1"/>
  <c r="F38" i="6" s="1"/>
  <c r="D39" i="6"/>
  <c r="D50" i="5"/>
  <c r="C51" i="5"/>
  <c r="C7" i="3"/>
  <c r="D6" i="3"/>
  <c r="E39" i="6" l="1" a="1"/>
  <c r="E39" i="6" s="1"/>
  <c r="F39" i="6" s="1" a="1"/>
  <c r="F39" i="6" s="1"/>
  <c r="D40" i="6"/>
  <c r="D51" i="5"/>
  <c r="C52" i="5"/>
  <c r="C8" i="3"/>
  <c r="D7" i="3"/>
  <c r="E40" i="6" l="1" a="1"/>
  <c r="E40" i="6" s="1"/>
  <c r="F40" i="6" s="1" a="1"/>
  <c r="F40" i="6" s="1"/>
  <c r="D41" i="6"/>
  <c r="D52" i="5"/>
  <c r="C53" i="5"/>
  <c r="D53" i="5" s="1"/>
  <c r="C9" i="3"/>
  <c r="D8" i="3"/>
  <c r="E41" i="6" l="1" a="1"/>
  <c r="E41" i="6" s="1"/>
  <c r="F41" i="6" s="1" a="1"/>
  <c r="F41" i="6" s="1"/>
  <c r="D42" i="6"/>
  <c r="C10" i="3"/>
  <c r="D9" i="3"/>
  <c r="E42" i="6" l="1" a="1"/>
  <c r="E42" i="6" s="1"/>
  <c r="F42" i="6" s="1" a="1"/>
  <c r="F42" i="6" s="1"/>
  <c r="D43" i="6"/>
  <c r="C11" i="3"/>
  <c r="D10" i="3"/>
  <c r="E43" i="6" l="1" a="1"/>
  <c r="E43" i="6" s="1"/>
  <c r="F43" i="6" s="1" a="1"/>
  <c r="F43" i="6" s="1"/>
  <c r="D44" i="6"/>
  <c r="C12" i="3"/>
  <c r="D11" i="3"/>
  <c r="E44" i="6" l="1" a="1"/>
  <c r="E44" i="6" s="1"/>
  <c r="F44" i="6" s="1" a="1"/>
  <c r="F44" i="6" s="1"/>
  <c r="D45" i="6"/>
  <c r="D12" i="3"/>
  <c r="C13" i="3"/>
  <c r="E45" i="6" l="1" a="1"/>
  <c r="E45" i="6" s="1"/>
  <c r="F45" i="6" s="1" a="1"/>
  <c r="F45" i="6" s="1"/>
  <c r="D46" i="6"/>
  <c r="E46" i="6" s="1" a="1"/>
  <c r="E46" i="6" s="1"/>
  <c r="F46" i="6" s="1" a="1"/>
  <c r="F46" i="6" s="1"/>
  <c r="C14" i="3"/>
  <c r="D13" i="3"/>
  <c r="D47" i="6" l="1"/>
  <c r="E47" i="6" s="1" a="1"/>
  <c r="E47" i="6" s="1"/>
  <c r="F47" i="6" s="1" a="1"/>
  <c r="F47" i="6" s="1"/>
  <c r="C15" i="3"/>
  <c r="D14" i="3"/>
  <c r="D48" i="6" l="1"/>
  <c r="C16" i="3"/>
  <c r="D15" i="3"/>
  <c r="E48" i="6" l="1" a="1"/>
  <c r="E48" i="6" s="1"/>
  <c r="F48" i="6" s="1" a="1"/>
  <c r="F48" i="6" s="1"/>
  <c r="D49" i="6"/>
  <c r="E49" i="6" s="1" a="1"/>
  <c r="E49" i="6" s="1"/>
  <c r="F49" i="6" s="1" a="1"/>
  <c r="F49" i="6" s="1"/>
  <c r="C17" i="3"/>
  <c r="D16" i="3"/>
  <c r="D50" i="6" l="1"/>
  <c r="C18" i="3"/>
  <c r="D17" i="3"/>
  <c r="E50" i="6" l="1" a="1"/>
  <c r="E50" i="6" s="1"/>
  <c r="F50" i="6" s="1" a="1"/>
  <c r="F50" i="6" s="1"/>
  <c r="D51" i="6"/>
  <c r="C19" i="3"/>
  <c r="D18" i="3"/>
  <c r="E51" i="6" l="1" a="1"/>
  <c r="E51" i="6" s="1"/>
  <c r="F51" i="6" s="1" a="1"/>
  <c r="F51" i="6" s="1"/>
  <c r="D52" i="6"/>
  <c r="E52" i="6" s="1" a="1"/>
  <c r="E52" i="6" s="1"/>
  <c r="F52" i="6" s="1" a="1"/>
  <c r="F52" i="6" s="1"/>
  <c r="C20" i="3"/>
  <c r="D19" i="3"/>
  <c r="D53" i="6" l="1"/>
  <c r="E53" i="6" s="1" a="1"/>
  <c r="E53" i="6" s="1"/>
  <c r="F53" i="6" s="1" a="1"/>
  <c r="F53" i="6" s="1"/>
  <c r="C21" i="3"/>
  <c r="D20" i="3"/>
  <c r="D54" i="6" l="1"/>
  <c r="E54" i="6" s="1" a="1"/>
  <c r="E54" i="6" s="1"/>
  <c r="F54" i="6" s="1" a="1"/>
  <c r="F54" i="6" s="1"/>
  <c r="C22" i="3"/>
  <c r="D21" i="3"/>
  <c r="D55" i="6" l="1"/>
  <c r="E55" i="6" s="1" a="1"/>
  <c r="E55" i="6" s="1"/>
  <c r="F55" i="6" s="1" a="1"/>
  <c r="F55" i="6" s="1"/>
  <c r="C23" i="3"/>
  <c r="D22" i="3"/>
  <c r="D56" i="6" l="1"/>
  <c r="E56" i="6" s="1" a="1"/>
  <c r="E56" i="6" s="1"/>
  <c r="F56" i="6" s="1" a="1"/>
  <c r="F56" i="6" s="1"/>
  <c r="C24" i="3"/>
  <c r="D23" i="3"/>
  <c r="D57" i="6" l="1"/>
  <c r="C25" i="3"/>
  <c r="D24" i="3"/>
  <c r="E57" i="6" l="1" a="1"/>
  <c r="E57" i="6" s="1"/>
  <c r="F57" i="6" s="1" a="1"/>
  <c r="F57" i="6" s="1"/>
  <c r="D58" i="6"/>
  <c r="E58" i="6" s="1" a="1"/>
  <c r="E58" i="6" s="1"/>
  <c r="F58" i="6" s="1" a="1"/>
  <c r="F58" i="6" s="1"/>
  <c r="C26" i="3"/>
  <c r="D25" i="3"/>
  <c r="D59" i="6" l="1"/>
  <c r="E59" i="6" s="1" a="1"/>
  <c r="E59" i="6" s="1"/>
  <c r="F59" i="6" s="1" a="1"/>
  <c r="F59" i="6" s="1"/>
  <c r="C27" i="3"/>
  <c r="D26" i="3"/>
  <c r="D60" i="6" l="1"/>
  <c r="E60" i="6" s="1" a="1"/>
  <c r="E60" i="6" s="1"/>
  <c r="F60" i="6" s="1" a="1"/>
  <c r="F60" i="6" s="1"/>
  <c r="C28" i="3"/>
  <c r="D27" i="3"/>
  <c r="D61" i="6" l="1"/>
  <c r="E61" i="6" s="1" a="1"/>
  <c r="E61" i="6" s="1"/>
  <c r="F61" i="6" s="1" a="1"/>
  <c r="F61" i="6" s="1"/>
  <c r="C29" i="3"/>
  <c r="D28" i="3"/>
  <c r="D62" i="6" l="1"/>
  <c r="C30" i="3"/>
  <c r="D29" i="3"/>
  <c r="E62" i="6" l="1" a="1"/>
  <c r="E62" i="6" s="1"/>
  <c r="F62" i="6" s="1" a="1"/>
  <c r="F62" i="6" s="1"/>
  <c r="D63" i="6"/>
  <c r="E63" i="6" s="1" a="1"/>
  <c r="E63" i="6" s="1"/>
  <c r="F63" i="6" s="1" a="1"/>
  <c r="F63" i="6" s="1"/>
  <c r="C31" i="3"/>
  <c r="D30" i="3"/>
  <c r="D64" i="6" l="1"/>
  <c r="E64" i="6" s="1" a="1"/>
  <c r="E64" i="6" s="1"/>
  <c r="F64" i="6" s="1" a="1"/>
  <c r="F64" i="6" s="1"/>
  <c r="C32" i="3"/>
  <c r="D31" i="3"/>
  <c r="I6" i="6" l="1"/>
  <c r="D65" i="6"/>
  <c r="C33" i="3"/>
  <c r="D32" i="3"/>
  <c r="E65" i="6" l="1" a="1"/>
  <c r="E65" i="6" s="1"/>
  <c r="F65" i="6" s="1" a="1"/>
  <c r="F65" i="6" s="1"/>
  <c r="D66" i="6"/>
  <c r="E66" i="6" s="1" a="1"/>
  <c r="E66" i="6" s="1"/>
  <c r="F66" i="6" s="1" a="1"/>
  <c r="F66" i="6" s="1"/>
  <c r="C34" i="3"/>
  <c r="D33" i="3"/>
  <c r="D67" i="6" l="1"/>
  <c r="E67" i="6" s="1" a="1"/>
  <c r="E67" i="6" s="1"/>
  <c r="F67" i="6" s="1" a="1"/>
  <c r="F67" i="6" s="1"/>
  <c r="C35" i="3"/>
  <c r="D34" i="3"/>
  <c r="D68" i="6" l="1"/>
  <c r="E68" i="6" s="1" a="1"/>
  <c r="E68" i="6" s="1"/>
  <c r="F68" i="6" s="1" a="1"/>
  <c r="F68" i="6" s="1"/>
  <c r="C36" i="3"/>
  <c r="D35" i="3"/>
  <c r="D69" i="6" l="1"/>
  <c r="E69" i="6" s="1" a="1"/>
  <c r="E69" i="6" s="1"/>
  <c r="F69" i="6" s="1" a="1"/>
  <c r="F69" i="6" s="1"/>
  <c r="C37" i="3"/>
  <c r="D36" i="3"/>
  <c r="D70" i="6" l="1"/>
  <c r="E70" i="6" s="1" a="1"/>
  <c r="E70" i="6" s="1"/>
  <c r="F70" i="6" s="1" a="1"/>
  <c r="F70" i="6" s="1"/>
  <c r="C38" i="3"/>
  <c r="D37" i="3"/>
  <c r="D71" i="6" l="1"/>
  <c r="E71" i="6" s="1" a="1"/>
  <c r="E71" i="6" s="1"/>
  <c r="F71" i="6" s="1" a="1"/>
  <c r="F71" i="6" s="1"/>
  <c r="C39" i="3"/>
  <c r="D38" i="3"/>
  <c r="D72" i="6" l="1"/>
  <c r="E72" i="6" s="1" a="1"/>
  <c r="E72" i="6" s="1"/>
  <c r="F72" i="6" s="1" a="1"/>
  <c r="F72" i="6" s="1"/>
  <c r="C40" i="3"/>
  <c r="D39" i="3"/>
  <c r="D73" i="6" l="1"/>
  <c r="E73" i="6" s="1" a="1"/>
  <c r="E73" i="6" s="1"/>
  <c r="F73" i="6" s="1" a="1"/>
  <c r="F73" i="6" s="1"/>
  <c r="C41" i="3"/>
  <c r="D40" i="3"/>
  <c r="D74" i="6" l="1"/>
  <c r="E74" i="6" s="1" a="1"/>
  <c r="E74" i="6" s="1"/>
  <c r="F74" i="6" s="1" a="1"/>
  <c r="F74" i="6" s="1"/>
  <c r="D41" i="3"/>
  <c r="C42" i="3"/>
  <c r="D75" i="6" l="1"/>
  <c r="E75" i="6" s="1" a="1"/>
  <c r="E75" i="6" s="1"/>
  <c r="F75" i="6" s="1" a="1"/>
  <c r="F75" i="6" s="1"/>
  <c r="D76" i="6"/>
  <c r="E76" i="6" s="1" a="1"/>
  <c r="E76" i="6" s="1"/>
  <c r="F76" i="6" s="1" a="1"/>
  <c r="F76" i="6" s="1"/>
  <c r="C43" i="3"/>
  <c r="D42" i="3"/>
  <c r="D77" i="6" l="1"/>
  <c r="E77" i="6" s="1" a="1"/>
  <c r="E77" i="6" s="1"/>
  <c r="F77" i="6" s="1" a="1"/>
  <c r="F77" i="6" s="1"/>
  <c r="C44" i="3"/>
  <c r="D43" i="3"/>
  <c r="D78" i="6" l="1"/>
  <c r="E78" i="6" s="1" a="1"/>
  <c r="E78" i="6" s="1"/>
  <c r="F78" i="6" s="1" a="1"/>
  <c r="F78" i="6" s="1"/>
  <c r="C45" i="3"/>
  <c r="D44" i="3"/>
  <c r="D79" i="6" l="1"/>
  <c r="E79" i="6" s="1" a="1"/>
  <c r="E79" i="6" s="1"/>
  <c r="F79" i="6" s="1" a="1"/>
  <c r="F79" i="6" s="1"/>
  <c r="C46" i="3"/>
  <c r="D45" i="3"/>
  <c r="D80" i="6" l="1"/>
  <c r="E80" i="6" s="1" a="1"/>
  <c r="E80" i="6" s="1"/>
  <c r="F80" i="6" s="1" a="1"/>
  <c r="F80" i="6" s="1"/>
  <c r="C47" i="3"/>
  <c r="D46" i="3"/>
  <c r="D81" i="6" l="1"/>
  <c r="E81" i="6" s="1" a="1"/>
  <c r="E81" i="6" s="1"/>
  <c r="F81" i="6" s="1" a="1"/>
  <c r="F81" i="6" s="1"/>
  <c r="C48" i="3"/>
  <c r="D47" i="3"/>
  <c r="D82" i="6" l="1"/>
  <c r="E82" i="6" s="1" a="1"/>
  <c r="E82" i="6" s="1"/>
  <c r="F82" i="6" s="1" a="1"/>
  <c r="F82" i="6" s="1"/>
  <c r="C49" i="3"/>
  <c r="D48" i="3"/>
  <c r="D83" i="6" l="1"/>
  <c r="E83" i="6" s="1" a="1"/>
  <c r="E83" i="6" s="1"/>
  <c r="F83" i="6" s="1" a="1"/>
  <c r="F83" i="6" s="1"/>
  <c r="C50" i="3"/>
  <c r="D49" i="3"/>
  <c r="D84" i="6" l="1"/>
  <c r="E84" i="6" s="1" a="1"/>
  <c r="E84" i="6" s="1"/>
  <c r="F84" i="6" s="1" a="1"/>
  <c r="F84" i="6" s="1"/>
  <c r="C51" i="3"/>
  <c r="D50" i="3"/>
  <c r="D85" i="6" l="1"/>
  <c r="E85" i="6" s="1" a="1"/>
  <c r="E85" i="6" s="1"/>
  <c r="F85" i="6" s="1" a="1"/>
  <c r="F85" i="6" s="1"/>
  <c r="C52" i="3"/>
  <c r="D51" i="3"/>
  <c r="D86" i="6" l="1"/>
  <c r="E86" i="6" s="1" a="1"/>
  <c r="E86" i="6" s="1"/>
  <c r="F86" i="6" s="1" a="1"/>
  <c r="F86" i="6" s="1"/>
  <c r="C53" i="3"/>
  <c r="D52" i="3"/>
  <c r="D87" i="6" l="1"/>
  <c r="E87" i="6" s="1" a="1"/>
  <c r="E87" i="6" s="1"/>
  <c r="F87" i="6" s="1" a="1"/>
  <c r="F87" i="6" s="1"/>
  <c r="D53" i="3"/>
  <c r="D88" i="6" l="1"/>
  <c r="E88" i="6" s="1" a="1"/>
  <c r="E88" i="6" s="1"/>
  <c r="F88" i="6" s="1" a="1"/>
  <c r="F88" i="6" s="1"/>
  <c r="D89" i="6" l="1"/>
  <c r="E89" i="6" s="1" a="1"/>
  <c r="E89" i="6" s="1"/>
  <c r="F89" i="6" s="1" a="1"/>
  <c r="F89" i="6" s="1"/>
  <c r="D90" i="6" l="1"/>
  <c r="E90" i="6" s="1" a="1"/>
  <c r="E90" i="6" s="1"/>
  <c r="F90" i="6" s="1" a="1"/>
  <c r="F90" i="6" s="1"/>
  <c r="D91" i="6" l="1"/>
  <c r="E91" i="6" s="1" a="1"/>
  <c r="E91" i="6" s="1"/>
  <c r="F91" i="6" s="1" a="1"/>
  <c r="F91" i="6" s="1"/>
  <c r="D92" i="6" l="1"/>
  <c r="E92" i="6" s="1" a="1"/>
  <c r="E92" i="6" s="1"/>
  <c r="F92" i="6" s="1" a="1"/>
  <c r="F92" i="6" s="1"/>
  <c r="D93" i="6" l="1"/>
  <c r="E93" i="6" s="1" a="1"/>
  <c r="E93" i="6" s="1"/>
  <c r="F93" i="6" s="1" a="1"/>
  <c r="F93" i="6" s="1"/>
  <c r="D94" i="6" l="1"/>
  <c r="E94" i="6" s="1" a="1"/>
  <c r="E94" i="6" s="1"/>
  <c r="F94" i="6" s="1" a="1"/>
  <c r="F94" i="6" s="1"/>
  <c r="D95" i="6" l="1"/>
  <c r="E95" i="6" s="1" a="1"/>
  <c r="E95" i="6" s="1"/>
  <c r="F95" i="6" s="1" a="1"/>
  <c r="F95" i="6" s="1"/>
  <c r="D96" i="6" l="1"/>
  <c r="E96" i="6" s="1" a="1"/>
  <c r="E96" i="6" s="1"/>
  <c r="F96" i="6" s="1" a="1"/>
  <c r="F96" i="6" s="1"/>
  <c r="D97" i="6" l="1"/>
  <c r="E97" i="6" s="1" a="1"/>
  <c r="E97" i="6" s="1"/>
  <c r="F97" i="6" s="1" a="1"/>
  <c r="F97" i="6" s="1"/>
  <c r="D98" i="6" l="1"/>
  <c r="E98" i="6" s="1" a="1"/>
  <c r="E98" i="6" s="1"/>
  <c r="F98" i="6" s="1" a="1"/>
  <c r="F98" i="6" s="1"/>
  <c r="D99" i="6" l="1"/>
  <c r="E99" i="6" s="1" a="1"/>
  <c r="E99" i="6" s="1"/>
  <c r="F99" i="6" s="1" a="1"/>
  <c r="F99" i="6" s="1"/>
  <c r="D100" i="6" l="1"/>
  <c r="E100" i="6" s="1" a="1"/>
  <c r="E100" i="6" s="1"/>
  <c r="F100" i="6" s="1" a="1"/>
  <c r="F100" i="6" s="1"/>
  <c r="D101" i="6" l="1"/>
  <c r="E101" i="6" s="1" a="1"/>
  <c r="E101" i="6" s="1"/>
  <c r="F101" i="6" s="1" a="1"/>
  <c r="F101" i="6" s="1"/>
  <c r="D102" i="6" l="1"/>
  <c r="E102" i="6" s="1" a="1"/>
  <c r="E102" i="6" s="1"/>
  <c r="F102" i="6" s="1" a="1"/>
  <c r="F102" i="6" s="1"/>
  <c r="D103" i="6" l="1"/>
  <c r="E103" i="6" s="1" a="1"/>
  <c r="E103" i="6" s="1"/>
  <c r="F103" i="6" s="1" a="1"/>
  <c r="F103" i="6" s="1"/>
  <c r="D104" i="6" l="1"/>
  <c r="E104" i="6" s="1" a="1"/>
  <c r="E104" i="6" s="1"/>
  <c r="F104" i="6" s="1" a="1"/>
  <c r="F104" i="6" s="1"/>
  <c r="D105" i="6" l="1"/>
  <c r="E105" i="6" s="1" a="1"/>
  <c r="E105" i="6" s="1"/>
  <c r="F105" i="6" s="1" a="1"/>
  <c r="F105" i="6" s="1"/>
  <c r="D106" i="6" l="1"/>
  <c r="E106" i="6" s="1" a="1"/>
  <c r="E106" i="6" s="1"/>
  <c r="F106" i="6" s="1" a="1"/>
  <c r="F106" i="6" s="1"/>
  <c r="D107" i="6" l="1"/>
  <c r="E107" i="6" s="1" a="1"/>
  <c r="E107" i="6" s="1"/>
  <c r="F107" i="6" s="1" a="1"/>
  <c r="F107" i="6" s="1"/>
  <c r="D108" i="6" l="1"/>
  <c r="E108" i="6" s="1" a="1"/>
  <c r="E108" i="6" s="1"/>
  <c r="F108" i="6" s="1" a="1"/>
  <c r="F108" i="6" s="1"/>
  <c r="D109" i="6" l="1"/>
  <c r="E109" i="6" s="1" a="1"/>
  <c r="E109" i="6" s="1"/>
  <c r="F109" i="6" s="1" a="1"/>
  <c r="F109" i="6" s="1"/>
  <c r="D110" i="6" l="1"/>
  <c r="E110" i="6" s="1" a="1"/>
  <c r="E110" i="6" s="1"/>
  <c r="F110" i="6" s="1" a="1"/>
  <c r="F110" i="6" s="1"/>
  <c r="D111" i="6" l="1"/>
  <c r="E111" i="6" s="1" a="1"/>
  <c r="E111" i="6" s="1"/>
  <c r="F111" i="6" s="1" a="1"/>
  <c r="F111" i="6" s="1"/>
  <c r="D112" i="6" l="1"/>
  <c r="E112" i="6" s="1" a="1"/>
  <c r="E112" i="6" s="1"/>
  <c r="F112" i="6" s="1" a="1"/>
  <c r="F112" i="6" s="1"/>
  <c r="D113" i="6" l="1"/>
  <c r="E113" i="6" s="1" a="1"/>
  <c r="E113" i="6" s="1"/>
  <c r="F113" i="6" s="1" a="1"/>
  <c r="F113" i="6" s="1"/>
  <c r="D114" i="6" l="1"/>
  <c r="E114" i="6" s="1" a="1"/>
  <c r="E114" i="6" s="1"/>
  <c r="F114" i="6" s="1" a="1"/>
  <c r="F114" i="6" s="1"/>
  <c r="D115" i="6" l="1"/>
  <c r="E115" i="6" s="1" a="1"/>
  <c r="E115" i="6" s="1"/>
  <c r="F115" i="6" s="1" a="1"/>
  <c r="F115" i="6" s="1"/>
  <c r="D116" i="6" l="1"/>
  <c r="E116" i="6" s="1" a="1"/>
  <c r="E116" i="6" s="1"/>
  <c r="F116" i="6" s="1" a="1"/>
  <c r="F116" i="6" s="1"/>
  <c r="D117" i="6" l="1"/>
  <c r="E117" i="6" s="1" a="1"/>
  <c r="E117" i="6" s="1"/>
  <c r="F117" i="6" s="1" a="1"/>
  <c r="F117" i="6" s="1"/>
  <c r="D118" i="6" l="1"/>
  <c r="E118" i="6" s="1" a="1"/>
  <c r="E118" i="6" s="1"/>
  <c r="F118" i="6" s="1" a="1"/>
  <c r="F118" i="6" s="1"/>
  <c r="D119" i="6" l="1"/>
  <c r="E119" i="6" s="1" a="1"/>
  <c r="E119" i="6" s="1"/>
  <c r="F119" i="6" s="1" a="1"/>
  <c r="F119" i="6" s="1"/>
  <c r="D120" i="6" l="1"/>
  <c r="E120" i="6" s="1" a="1"/>
  <c r="E120" i="6" s="1"/>
  <c r="F120" i="6" s="1" a="1"/>
  <c r="F120" i="6" s="1"/>
  <c r="D121" i="6" l="1"/>
  <c r="E121" i="6" s="1" a="1"/>
  <c r="E121" i="6" s="1"/>
  <c r="F121" i="6" s="1" a="1"/>
  <c r="F121" i="6" s="1"/>
  <c r="D122" i="6" l="1"/>
  <c r="E122" i="6" s="1" a="1"/>
  <c r="E122" i="6" s="1"/>
  <c r="F122" i="6" s="1" a="1"/>
  <c r="F122" i="6" s="1"/>
  <c r="D123" i="6" l="1"/>
  <c r="E123" i="6" s="1" a="1"/>
  <c r="E123" i="6" s="1"/>
  <c r="F123" i="6" s="1" a="1"/>
  <c r="F123" i="6" s="1"/>
  <c r="D124" i="6" l="1"/>
  <c r="E124" i="6" s="1" a="1"/>
  <c r="E124" i="6" s="1"/>
  <c r="F124" i="6" s="1" a="1"/>
  <c r="F124" i="6" s="1"/>
  <c r="D125" i="6" l="1"/>
  <c r="E125" i="6" s="1" a="1"/>
  <c r="E125" i="6" s="1"/>
  <c r="F125" i="6" s="1" a="1"/>
  <c r="F125" i="6" s="1"/>
  <c r="D126" i="6" l="1"/>
  <c r="E126" i="6" s="1" a="1"/>
  <c r="E126" i="6" s="1"/>
  <c r="F126" i="6" s="1" a="1"/>
  <c r="F126" i="6" s="1"/>
  <c r="D127" i="6" l="1"/>
  <c r="E127" i="6" s="1" a="1"/>
  <c r="E127" i="6" s="1"/>
  <c r="F127" i="6" s="1" a="1"/>
  <c r="F127" i="6" s="1"/>
  <c r="D128" i="6" l="1"/>
  <c r="E128" i="6" s="1" a="1"/>
  <c r="E128" i="6" s="1"/>
  <c r="F128" i="6" s="1" a="1"/>
  <c r="F128" i="6" s="1"/>
  <c r="D129" i="6" l="1"/>
  <c r="E129" i="6" s="1" a="1"/>
  <c r="E129" i="6" s="1"/>
  <c r="F129" i="6" s="1" a="1"/>
  <c r="F129" i="6" s="1"/>
  <c r="D130" i="6" l="1"/>
  <c r="E130" i="6" s="1" a="1"/>
  <c r="E130" i="6" s="1"/>
  <c r="F130" i="6" s="1" a="1"/>
  <c r="F130" i="6" s="1"/>
  <c r="D131" i="6" l="1"/>
  <c r="E131" i="6" s="1" a="1"/>
  <c r="E131" i="6" s="1"/>
  <c r="F131" i="6" s="1" a="1"/>
  <c r="F131" i="6" s="1"/>
  <c r="D132" i="6" l="1"/>
  <c r="E132" i="6" s="1" a="1"/>
  <c r="E132" i="6" s="1"/>
  <c r="F132" i="6" s="1" a="1"/>
  <c r="F132" i="6" s="1"/>
  <c r="D133" i="6" l="1"/>
  <c r="E133" i="6" s="1" a="1"/>
  <c r="E133" i="6" s="1"/>
  <c r="F133" i="6" s="1" a="1"/>
  <c r="F133" i="6" s="1"/>
  <c r="D134" i="6" l="1"/>
  <c r="E134" i="6" s="1" a="1"/>
  <c r="E134" i="6" s="1"/>
  <c r="F134" i="6" s="1" a="1"/>
  <c r="F134" i="6" s="1"/>
  <c r="D135" i="6" l="1"/>
  <c r="E135" i="6" s="1" a="1"/>
  <c r="E135" i="6" s="1"/>
  <c r="F135" i="6" s="1" a="1"/>
  <c r="F135" i="6" s="1"/>
  <c r="D136" i="6" l="1"/>
  <c r="E136" i="6" s="1" a="1"/>
  <c r="E136" i="6" s="1"/>
  <c r="F136" i="6" s="1" a="1"/>
  <c r="F136" i="6" s="1"/>
  <c r="D137" i="6" l="1"/>
  <c r="E137" i="6" s="1" a="1"/>
  <c r="E137" i="6" s="1"/>
  <c r="F137" i="6" s="1" a="1"/>
  <c r="F137" i="6" s="1"/>
  <c r="D138" i="6" l="1"/>
  <c r="E138" i="6" s="1" a="1"/>
  <c r="E138" i="6" s="1"/>
  <c r="F138" i="6" s="1" a="1"/>
  <c r="F138" i="6" s="1"/>
  <c r="D139" i="6" l="1"/>
  <c r="E139" i="6" s="1" a="1"/>
  <c r="E139" i="6" s="1"/>
  <c r="F139" i="6" s="1" a="1"/>
  <c r="F139" i="6" s="1"/>
  <c r="D140" i="6" l="1"/>
  <c r="E140" i="6" s="1" a="1"/>
  <c r="E140" i="6" s="1"/>
  <c r="F140" i="6" s="1" a="1"/>
  <c r="F140" i="6" s="1"/>
  <c r="D141" i="6" l="1"/>
  <c r="E141" i="6" s="1" a="1"/>
  <c r="E141" i="6" s="1"/>
  <c r="F141" i="6" s="1" a="1"/>
  <c r="F141" i="6" s="1"/>
  <c r="D142" i="6" l="1"/>
  <c r="E142" i="6" s="1" a="1"/>
  <c r="E142" i="6" s="1"/>
  <c r="F142" i="6" s="1" a="1"/>
  <c r="F142" i="6" s="1"/>
  <c r="D143" i="6" l="1"/>
  <c r="E143" i="6" s="1" a="1"/>
  <c r="E143" i="6" s="1"/>
  <c r="F143" i="6" s="1" a="1"/>
  <c r="F143" i="6" s="1"/>
  <c r="D144" i="6" l="1"/>
  <c r="E144" i="6" s="1" a="1"/>
  <c r="E144" i="6" s="1"/>
  <c r="F144" i="6" s="1" a="1"/>
  <c r="F144" i="6" s="1"/>
  <c r="D145" i="6" l="1"/>
  <c r="E145" i="6" s="1" a="1"/>
  <c r="E145" i="6" s="1"/>
  <c r="F145" i="6" s="1" a="1"/>
  <c r="F145" i="6" s="1"/>
  <c r="D146" i="6" l="1"/>
  <c r="E146" i="6" s="1" a="1"/>
  <c r="E146" i="6" s="1"/>
  <c r="F146" i="6" s="1" a="1"/>
  <c r="F146" i="6" s="1"/>
  <c r="D147" i="6" l="1"/>
  <c r="E147" i="6" s="1" a="1"/>
  <c r="E147" i="6" s="1"/>
  <c r="F147" i="6" s="1" a="1"/>
  <c r="F147" i="6" s="1"/>
  <c r="D148" i="6" l="1"/>
  <c r="E148" i="6" s="1" a="1"/>
  <c r="E148" i="6" s="1"/>
  <c r="F148" i="6" s="1" a="1"/>
  <c r="F148" i="6" s="1"/>
  <c r="D149" i="6" l="1"/>
  <c r="E149" i="6" s="1" a="1"/>
  <c r="E149" i="6" s="1"/>
  <c r="F149" i="6" s="1" a="1"/>
  <c r="F149" i="6" s="1"/>
  <c r="D150" i="6" l="1"/>
  <c r="E150" i="6" s="1" a="1"/>
  <c r="E150" i="6" s="1"/>
  <c r="F150" i="6" s="1" a="1"/>
  <c r="F150" i="6" s="1"/>
  <c r="D151" i="6" l="1"/>
  <c r="E151" i="6" s="1" a="1"/>
  <c r="E151" i="6" s="1"/>
  <c r="F151" i="6" s="1" a="1"/>
  <c r="F151" i="6" s="1"/>
  <c r="D152" i="6" l="1"/>
  <c r="E152" i="6" s="1" a="1"/>
  <c r="E152" i="6" s="1"/>
  <c r="F152" i="6" s="1" a="1"/>
  <c r="F152" i="6" s="1"/>
  <c r="D153" i="6" l="1"/>
  <c r="E153" i="6" s="1" a="1"/>
  <c r="E153" i="6" s="1"/>
  <c r="F153" i="6" s="1" a="1"/>
  <c r="F153" i="6" s="1"/>
  <c r="D154" i="6" l="1"/>
  <c r="E154" i="6" s="1" a="1"/>
  <c r="E154" i="6" s="1"/>
  <c r="F154" i="6" s="1" a="1"/>
  <c r="F154" i="6" s="1"/>
  <c r="D155" i="6" l="1"/>
  <c r="E155" i="6" s="1" a="1"/>
  <c r="E155" i="6" s="1"/>
  <c r="F155" i="6" s="1" a="1"/>
  <c r="F155" i="6" s="1"/>
  <c r="D156" i="6" l="1"/>
  <c r="E156" i="6" s="1" a="1"/>
  <c r="E156" i="6" s="1"/>
  <c r="F156" i="6" s="1" a="1"/>
  <c r="F156" i="6" s="1"/>
  <c r="D157" i="6" l="1"/>
  <c r="E157" i="6" s="1" a="1"/>
  <c r="E157" i="6" s="1"/>
  <c r="F157" i="6" s="1" a="1"/>
  <c r="F157" i="6" s="1"/>
  <c r="D158" i="6" l="1"/>
  <c r="E158" i="6" s="1" a="1"/>
  <c r="E158" i="6" s="1"/>
  <c r="F158" i="6" s="1" a="1"/>
  <c r="F158" i="6" s="1"/>
  <c r="D159" i="6" l="1"/>
  <c r="E159" i="6" s="1" a="1"/>
  <c r="E159" i="6" s="1"/>
  <c r="F159" i="6" s="1" a="1"/>
  <c r="F159" i="6" s="1"/>
  <c r="D160" i="6" l="1"/>
  <c r="E160" i="6" s="1" a="1"/>
  <c r="E160" i="6" s="1"/>
  <c r="F160" i="6" s="1" a="1"/>
  <c r="F160" i="6" s="1"/>
  <c r="D161" i="6" l="1"/>
  <c r="E161" i="6" s="1" a="1"/>
  <c r="E161" i="6" s="1"/>
  <c r="F161" i="6" s="1" a="1"/>
  <c r="F161" i="6" s="1"/>
  <c r="D162" i="6" l="1"/>
  <c r="E162" i="6" s="1" a="1"/>
  <c r="E162" i="6" s="1"/>
  <c r="F162" i="6" s="1" a="1"/>
  <c r="F162" i="6" s="1"/>
  <c r="D163" i="6" l="1"/>
  <c r="E163" i="6" s="1" a="1"/>
  <c r="E163" i="6" s="1"/>
  <c r="F163" i="6" s="1" a="1"/>
  <c r="F163" i="6" s="1"/>
  <c r="D164" i="6" l="1"/>
  <c r="E164" i="6" s="1" a="1"/>
  <c r="E164" i="6" s="1"/>
  <c r="F164" i="6" s="1" a="1"/>
  <c r="F164" i="6" s="1"/>
  <c r="D165" i="6" l="1"/>
  <c r="E165" i="6" s="1" a="1"/>
  <c r="E165" i="6" s="1"/>
  <c r="F165" i="6" s="1" a="1"/>
  <c r="F165" i="6" s="1"/>
  <c r="D166" i="6" l="1"/>
  <c r="E166" i="6" s="1" a="1"/>
  <c r="E166" i="6" s="1"/>
  <c r="F166" i="6" s="1" a="1"/>
  <c r="F166" i="6" s="1"/>
  <c r="D167" i="6" l="1"/>
  <c r="E167" i="6" s="1" a="1"/>
  <c r="E167" i="6" s="1"/>
  <c r="F167" i="6" s="1" a="1"/>
  <c r="F167" i="6" s="1"/>
  <c r="D168" i="6" l="1"/>
  <c r="E168" i="6" s="1" a="1"/>
  <c r="E168" i="6" s="1"/>
  <c r="F168" i="6" s="1" a="1"/>
  <c r="F168" i="6" s="1"/>
  <c r="D169" i="6" l="1"/>
  <c r="E169" i="6" s="1" a="1"/>
  <c r="E169" i="6" s="1"/>
  <c r="F169" i="6" s="1" a="1"/>
  <c r="F169" i="6" s="1"/>
  <c r="D170" i="6" l="1"/>
  <c r="E170" i="6" s="1" a="1"/>
  <c r="E170" i="6" s="1"/>
  <c r="F170" i="6" s="1" a="1"/>
  <c r="F170" i="6" s="1"/>
  <c r="D171" i="6" l="1"/>
  <c r="E171" i="6" s="1" a="1"/>
  <c r="E171" i="6" s="1"/>
  <c r="F171" i="6" s="1" a="1"/>
  <c r="F171" i="6" s="1"/>
  <c r="D172" i="6" l="1"/>
  <c r="E172" i="6" s="1" a="1"/>
  <c r="E172" i="6" s="1"/>
  <c r="F172" i="6" s="1" a="1"/>
  <c r="F172" i="6" s="1"/>
  <c r="D173" i="6" l="1"/>
  <c r="E173" i="6" s="1" a="1"/>
  <c r="E173" i="6" s="1"/>
  <c r="F173" i="6" s="1" a="1"/>
  <c r="F173" i="6" s="1"/>
  <c r="D174" i="6" l="1"/>
  <c r="E174" i="6" s="1" a="1"/>
  <c r="E174" i="6" s="1"/>
  <c r="F174" i="6" s="1" a="1"/>
  <c r="F174" i="6" s="1"/>
  <c r="D175" i="6" l="1"/>
  <c r="E175" i="6" s="1" a="1"/>
  <c r="E175" i="6" s="1"/>
  <c r="F175" i="6" s="1" a="1"/>
  <c r="F175" i="6" s="1"/>
  <c r="D176" i="6" l="1"/>
  <c r="E176" i="6" s="1" a="1"/>
  <c r="E176" i="6" s="1"/>
  <c r="F176" i="6" s="1" a="1"/>
  <c r="F176" i="6" s="1"/>
  <c r="D177" i="6" l="1"/>
  <c r="E177" i="6" s="1" a="1"/>
  <c r="E177" i="6" s="1"/>
  <c r="F177" i="6" s="1" a="1"/>
  <c r="F177" i="6" s="1"/>
  <c r="D178" i="6" l="1"/>
  <c r="E178" i="6" s="1" a="1"/>
  <c r="E178" i="6" s="1"/>
  <c r="F178" i="6" s="1" a="1"/>
  <c r="F178" i="6" s="1"/>
  <c r="D179" i="6" l="1"/>
  <c r="E179" i="6" s="1" a="1"/>
  <c r="E179" i="6" s="1"/>
  <c r="F179" i="6" s="1" a="1"/>
  <c r="F179" i="6" s="1"/>
  <c r="D180" i="6" l="1"/>
  <c r="E180" i="6" s="1" a="1"/>
  <c r="E180" i="6" s="1"/>
  <c r="F180" i="6" s="1" a="1"/>
  <c r="F180" i="6" s="1"/>
  <c r="D181" i="6" l="1"/>
  <c r="E181" i="6" s="1" a="1"/>
  <c r="E181" i="6" s="1"/>
  <c r="F181" i="6" s="1" a="1"/>
  <c r="F181" i="6" s="1"/>
  <c r="D182" i="6" l="1"/>
  <c r="E182" i="6" s="1" a="1"/>
  <c r="E182" i="6" s="1"/>
  <c r="F182" i="6" s="1" a="1"/>
  <c r="F182" i="6" s="1"/>
  <c r="D183" i="6" l="1"/>
  <c r="E183" i="6" s="1" a="1"/>
  <c r="E183" i="6" s="1"/>
  <c r="F183" i="6" s="1" a="1"/>
  <c r="F183" i="6" s="1"/>
  <c r="D184" i="6" l="1"/>
  <c r="E184" i="6" s="1" a="1"/>
  <c r="E184" i="6" s="1"/>
  <c r="F184" i="6" s="1" a="1"/>
  <c r="F184" i="6" s="1"/>
  <c r="D185" i="6" l="1"/>
  <c r="E185" i="6" s="1" a="1"/>
  <c r="E185" i="6" s="1"/>
  <c r="F185" i="6" s="1" a="1"/>
  <c r="F185" i="6" s="1"/>
  <c r="D186" i="6" l="1"/>
  <c r="E186" i="6" s="1" a="1"/>
  <c r="E186" i="6" s="1"/>
  <c r="F186" i="6" s="1" a="1"/>
  <c r="F186" i="6" s="1"/>
  <c r="D187" i="6" l="1"/>
  <c r="E187" i="6" s="1" a="1"/>
  <c r="E187" i="6" s="1"/>
  <c r="F187" i="6" s="1" a="1"/>
  <c r="F187" i="6" s="1"/>
  <c r="D188" i="6" l="1"/>
  <c r="E188" i="6" s="1" a="1"/>
  <c r="E188" i="6" s="1"/>
  <c r="F188" i="6" s="1" a="1"/>
  <c r="F188" i="6" s="1"/>
  <c r="D189" i="6" l="1"/>
  <c r="E189" i="6" s="1" a="1"/>
  <c r="E189" i="6" s="1"/>
  <c r="F189" i="6" s="1" a="1"/>
  <c r="F189" i="6" s="1"/>
  <c r="D190" i="6" l="1"/>
  <c r="E190" i="6" s="1" a="1"/>
  <c r="E190" i="6" s="1"/>
  <c r="F190" i="6" s="1" a="1"/>
  <c r="F190" i="6" s="1"/>
  <c r="D191" i="6" l="1"/>
  <c r="E191" i="6" s="1" a="1"/>
  <c r="E191" i="6" s="1"/>
  <c r="F191" i="6" s="1" a="1"/>
  <c r="F191" i="6" s="1"/>
  <c r="D192" i="6" l="1"/>
  <c r="E192" i="6" s="1" a="1"/>
  <c r="E192" i="6" s="1"/>
  <c r="F192" i="6" s="1" a="1"/>
  <c r="F192" i="6" s="1"/>
  <c r="D193" i="6" l="1"/>
  <c r="E193" i="6" s="1" a="1"/>
  <c r="E193" i="6" s="1"/>
  <c r="F193" i="6" s="1" a="1"/>
  <c r="F193" i="6" s="1"/>
  <c r="D194" i="6" l="1"/>
  <c r="E194" i="6" s="1" a="1"/>
  <c r="E194" i="6" s="1"/>
  <c r="F194" i="6" s="1" a="1"/>
  <c r="F194" i="6" s="1"/>
  <c r="D195" i="6" l="1"/>
  <c r="E195" i="6" s="1" a="1"/>
  <c r="E195" i="6" s="1"/>
  <c r="F195" i="6" s="1" a="1"/>
  <c r="F195" i="6" s="1"/>
  <c r="D196" i="6" l="1"/>
  <c r="E196" i="6" s="1" a="1"/>
  <c r="E196" i="6" s="1"/>
  <c r="F196" i="6" s="1" a="1"/>
  <c r="F196" i="6" s="1"/>
  <c r="D197" i="6" l="1"/>
  <c r="E197" i="6" s="1" a="1"/>
  <c r="E197" i="6" s="1"/>
  <c r="F197" i="6" s="1" a="1"/>
  <c r="F197" i="6" s="1"/>
  <c r="D198" i="6" l="1"/>
  <c r="E198" i="6" s="1" a="1"/>
  <c r="E198" i="6" s="1"/>
  <c r="F198" i="6" s="1" a="1"/>
  <c r="F198" i="6" s="1"/>
  <c r="D199" i="6" l="1"/>
  <c r="E199" i="6" s="1" a="1"/>
  <c r="E199" i="6" s="1"/>
  <c r="F199" i="6" s="1" a="1"/>
  <c r="F199" i="6" s="1"/>
  <c r="D200" i="6" l="1"/>
  <c r="E200" i="6" s="1" a="1"/>
  <c r="E200" i="6" s="1"/>
  <c r="F200" i="6" s="1" a="1"/>
  <c r="F200" i="6" s="1"/>
  <c r="D201" i="6" l="1"/>
  <c r="E201" i="6" s="1" a="1"/>
  <c r="E201" i="6" s="1"/>
  <c r="F201" i="6" s="1" a="1"/>
  <c r="F201" i="6" s="1"/>
  <c r="D202" i="6" l="1"/>
  <c r="E202" i="6" s="1" a="1"/>
  <c r="E202" i="6" s="1"/>
  <c r="F202" i="6" s="1" a="1"/>
  <c r="F202" i="6" s="1"/>
  <c r="D203" i="6" l="1"/>
  <c r="E203" i="6" s="1" a="1"/>
  <c r="E203" i="6" s="1"/>
  <c r="F203" i="6" s="1" a="1"/>
  <c r="F203" i="6" s="1"/>
  <c r="D204" i="6" l="1"/>
  <c r="E204" i="6" s="1" a="1"/>
  <c r="E204" i="6" s="1"/>
  <c r="F204" i="6" s="1" a="1"/>
  <c r="F204" i="6" s="1"/>
  <c r="D205" i="6" l="1"/>
  <c r="E205" i="6" s="1" a="1"/>
  <c r="E205" i="6" s="1"/>
  <c r="F205" i="6" s="1" a="1"/>
  <c r="F205" i="6" s="1"/>
  <c r="D206" i="6" l="1"/>
  <c r="E206" i="6" s="1" a="1"/>
  <c r="E206" i="6" s="1"/>
  <c r="F206" i="6" s="1" a="1"/>
  <c r="F206" i="6" s="1"/>
  <c r="D207" i="6" l="1"/>
  <c r="E207" i="6" s="1" a="1"/>
  <c r="E207" i="6" s="1"/>
  <c r="F207" i="6" s="1" a="1"/>
  <c r="F207" i="6" s="1"/>
  <c r="D208" i="6" l="1"/>
  <c r="E208" i="6" s="1" a="1"/>
  <c r="E208" i="6" s="1"/>
  <c r="F208" i="6" s="1" a="1"/>
  <c r="F208" i="6" s="1"/>
  <c r="D209" i="6" l="1"/>
  <c r="E209" i="6" s="1" a="1"/>
  <c r="E209" i="6" s="1"/>
  <c r="F209" i="6" s="1" a="1"/>
  <c r="F209" i="6" s="1"/>
  <c r="D210" i="6" l="1"/>
  <c r="E210" i="6" s="1" a="1"/>
  <c r="E210" i="6" s="1"/>
  <c r="F210" i="6" s="1" a="1"/>
  <c r="F210" i="6" s="1"/>
  <c r="D211" i="6" l="1"/>
  <c r="E211" i="6" s="1" a="1"/>
  <c r="E211" i="6" s="1"/>
  <c r="F211" i="6" s="1" a="1"/>
  <c r="F211" i="6" s="1"/>
  <c r="D212" i="6" l="1"/>
  <c r="E212" i="6" s="1" a="1"/>
  <c r="E212" i="6" s="1"/>
  <c r="F212" i="6" s="1" a="1"/>
  <c r="F212" i="6" s="1"/>
  <c r="D213" i="6" l="1"/>
  <c r="E213" i="6" s="1" a="1"/>
  <c r="E213" i="6" s="1"/>
  <c r="F213" i="6" s="1" a="1"/>
  <c r="F213" i="6" s="1"/>
  <c r="D214" i="6" l="1"/>
  <c r="E214" i="6" s="1" a="1"/>
  <c r="E214" i="6" s="1"/>
  <c r="F214" i="6" s="1" a="1"/>
  <c r="F214" i="6" s="1"/>
  <c r="D215" i="6" l="1"/>
  <c r="E215" i="6" s="1" a="1"/>
  <c r="E215" i="6" s="1"/>
  <c r="F215" i="6" s="1" a="1"/>
  <c r="F215" i="6" s="1"/>
  <c r="D216" i="6" l="1"/>
  <c r="E216" i="6" s="1" a="1"/>
  <c r="E216" i="6" s="1"/>
  <c r="F216" i="6" s="1" a="1"/>
  <c r="F216" i="6" s="1"/>
  <c r="D217" i="6" l="1"/>
  <c r="E217" i="6" s="1" a="1"/>
  <c r="E217" i="6" s="1"/>
  <c r="F217" i="6" s="1" a="1"/>
  <c r="F217" i="6" s="1"/>
  <c r="D218" i="6" l="1"/>
  <c r="E218" i="6" s="1" a="1"/>
  <c r="E218" i="6" s="1"/>
  <c r="F218" i="6" s="1" a="1"/>
  <c r="F218" i="6" s="1"/>
  <c r="D219" i="6" l="1"/>
  <c r="E219" i="6" s="1" a="1"/>
  <c r="E219" i="6" s="1"/>
  <c r="F219" i="6" s="1" a="1"/>
  <c r="F219" i="6" s="1"/>
  <c r="D220" i="6" l="1"/>
  <c r="E220" i="6" s="1" a="1"/>
  <c r="E220" i="6" s="1"/>
  <c r="F220" i="6" s="1" a="1"/>
  <c r="F220" i="6" s="1"/>
  <c r="D221" i="6" l="1"/>
  <c r="E221" i="6" s="1" a="1"/>
  <c r="E221" i="6" s="1"/>
  <c r="F221" i="6" s="1" a="1"/>
  <c r="F221" i="6" s="1"/>
  <c r="D222" i="6" l="1"/>
  <c r="E222" i="6" s="1" a="1"/>
  <c r="E222" i="6" s="1"/>
  <c r="F222" i="6" s="1" a="1"/>
  <c r="F222" i="6" s="1"/>
  <c r="D223" i="6" l="1"/>
  <c r="E223" i="6" s="1" a="1"/>
  <c r="E223" i="6" s="1"/>
  <c r="F223" i="6" s="1" a="1"/>
  <c r="F223" i="6" s="1"/>
  <c r="D224" i="6" l="1"/>
  <c r="E224" i="6" s="1" a="1"/>
  <c r="E224" i="6" s="1"/>
  <c r="F224" i="6" s="1" a="1"/>
  <c r="F224" i="6" s="1"/>
  <c r="D225" i="6" l="1"/>
  <c r="E225" i="6" s="1" a="1"/>
  <c r="E225" i="6" s="1"/>
  <c r="F225" i="6" s="1" a="1"/>
  <c r="F225" i="6" s="1"/>
  <c r="D226" i="6" l="1"/>
  <c r="E226" i="6" s="1" a="1"/>
  <c r="E226" i="6" s="1"/>
  <c r="F226" i="6" s="1" a="1"/>
  <c r="F226" i="6" s="1"/>
  <c r="D227" i="6" l="1"/>
  <c r="E227" i="6" s="1" a="1"/>
  <c r="E227" i="6" s="1"/>
  <c r="F227" i="6" s="1" a="1"/>
  <c r="F227" i="6" s="1"/>
  <c r="D228" i="6" l="1"/>
  <c r="E228" i="6" s="1" a="1"/>
  <c r="E228" i="6" s="1"/>
  <c r="F228" i="6" s="1" a="1"/>
  <c r="F228" i="6" s="1"/>
  <c r="D229" i="6" l="1"/>
  <c r="E229" i="6" s="1" a="1"/>
  <c r="E229" i="6" s="1"/>
  <c r="F229" i="6" s="1" a="1"/>
  <c r="F229" i="6" s="1"/>
  <c r="D230" i="6" l="1"/>
  <c r="E230" i="6" s="1" a="1"/>
  <c r="E230" i="6" s="1"/>
  <c r="F230" i="6" s="1" a="1"/>
  <c r="F230" i="6" s="1"/>
  <c r="D231" i="6" l="1"/>
  <c r="E231" i="6" s="1" a="1"/>
  <c r="E231" i="6" s="1"/>
  <c r="F231" i="6" s="1" a="1"/>
  <c r="F231" i="6" s="1"/>
  <c r="D232" i="6" l="1"/>
  <c r="E232" i="6" s="1" a="1"/>
  <c r="E232" i="6" s="1"/>
  <c r="F232" i="6" s="1" a="1"/>
  <c r="F232" i="6" s="1"/>
  <c r="D233" i="6" l="1"/>
  <c r="E233" i="6" s="1" a="1"/>
  <c r="E233" i="6" s="1"/>
  <c r="F233" i="6" s="1" a="1"/>
  <c r="F233" i="6" s="1"/>
  <c r="D234" i="6" l="1"/>
  <c r="E234" i="6" s="1" a="1"/>
  <c r="E234" i="6" s="1"/>
  <c r="F234" i="6" s="1" a="1"/>
  <c r="F234" i="6" s="1"/>
  <c r="D235" i="6" l="1"/>
  <c r="E235" i="6" s="1" a="1"/>
  <c r="E235" i="6" s="1"/>
  <c r="F235" i="6" s="1" a="1"/>
  <c r="F235" i="6" s="1"/>
  <c r="D236" i="6" l="1"/>
  <c r="E236" i="6" s="1" a="1"/>
  <c r="E236" i="6" s="1"/>
  <c r="F236" i="6" s="1" a="1"/>
  <c r="F236" i="6" s="1"/>
  <c r="D237" i="6" l="1"/>
  <c r="E237" i="6" s="1" a="1"/>
  <c r="E237" i="6" s="1"/>
  <c r="F237" i="6" s="1" a="1"/>
  <c r="F237" i="6" s="1"/>
  <c r="D238" i="6" l="1"/>
  <c r="E238" i="6" s="1" a="1"/>
  <c r="E238" i="6" s="1"/>
  <c r="F238" i="6" s="1" a="1"/>
  <c r="F238" i="6" s="1"/>
  <c r="D239" i="6" l="1"/>
  <c r="E239" i="6" s="1" a="1"/>
  <c r="E239" i="6" s="1"/>
  <c r="F239" i="6" s="1" a="1"/>
  <c r="F239" i="6" s="1"/>
  <c r="D240" i="6" l="1"/>
  <c r="E240" i="6" s="1" a="1"/>
  <c r="E240" i="6" s="1"/>
  <c r="F240" i="6" s="1" a="1"/>
  <c r="F240" i="6" s="1"/>
  <c r="D241" i="6" l="1"/>
  <c r="E241" i="6" s="1" a="1"/>
  <c r="E241" i="6" s="1"/>
  <c r="F241" i="6" s="1" a="1"/>
  <c r="F241" i="6" s="1"/>
  <c r="D242" i="6" l="1"/>
  <c r="E242" i="6" s="1" a="1"/>
  <c r="E242" i="6" s="1"/>
  <c r="F242" i="6" s="1" a="1"/>
  <c r="F242" i="6" s="1"/>
  <c r="D243" i="6" l="1"/>
  <c r="E243" i="6" s="1" a="1"/>
  <c r="E243" i="6" s="1"/>
  <c r="F243" i="6" s="1" a="1"/>
  <c r="F243" i="6" s="1"/>
  <c r="D244" i="6" l="1"/>
  <c r="E244" i="6" s="1" a="1"/>
  <c r="E244" i="6" s="1"/>
  <c r="F244" i="6" s="1" a="1"/>
  <c r="F244" i="6" s="1"/>
  <c r="D245" i="6" l="1"/>
  <c r="E245" i="6" s="1" a="1"/>
  <c r="E245" i="6" s="1"/>
  <c r="F245" i="6" s="1" a="1"/>
  <c r="F245" i="6" s="1"/>
  <c r="D246" i="6" l="1"/>
  <c r="E246" i="6" s="1" a="1"/>
  <c r="E246" i="6" s="1"/>
  <c r="F246" i="6" s="1" a="1"/>
  <c r="F246" i="6" s="1"/>
  <c r="D247" i="6" l="1"/>
  <c r="E247" i="6" s="1" a="1"/>
  <c r="E247" i="6" s="1"/>
  <c r="F247" i="6" s="1" a="1"/>
  <c r="F247" i="6" s="1"/>
  <c r="D248" i="6" l="1"/>
  <c r="E248" i="6" s="1" a="1"/>
  <c r="E248" i="6" s="1"/>
  <c r="F248" i="6" s="1" a="1"/>
  <c r="F248" i="6" s="1"/>
  <c r="D249" i="6" l="1"/>
  <c r="E249" i="6" s="1" a="1"/>
  <c r="E249" i="6" s="1"/>
  <c r="F249" i="6" s="1" a="1"/>
  <c r="F249" i="6" s="1"/>
  <c r="D250" i="6" l="1"/>
  <c r="E250" i="6" s="1" a="1"/>
  <c r="E250" i="6" s="1"/>
  <c r="F250" i="6" s="1" a="1"/>
  <c r="F250" i="6" s="1"/>
  <c r="D251" i="6" l="1"/>
  <c r="E251" i="6" s="1" a="1"/>
  <c r="E251" i="6" s="1"/>
  <c r="F251" i="6" s="1" a="1"/>
  <c r="F251" i="6" s="1"/>
  <c r="D252" i="6" l="1"/>
  <c r="E252" i="6" s="1" a="1"/>
  <c r="E252" i="6" s="1"/>
  <c r="F252" i="6" s="1" a="1"/>
  <c r="F252" i="6" s="1"/>
  <c r="D253" i="6" l="1"/>
  <c r="E253" i="6" s="1" a="1"/>
  <c r="E253" i="6" s="1"/>
  <c r="F253" i="6" s="1" a="1"/>
  <c r="F253" i="6" s="1"/>
  <c r="D254" i="6" l="1"/>
  <c r="E254" i="6" s="1" a="1"/>
  <c r="E254" i="6" s="1"/>
  <c r="F254" i="6" s="1" a="1"/>
  <c r="F254" i="6" s="1"/>
  <c r="D255" i="6" l="1"/>
  <c r="E255" i="6" s="1" a="1"/>
  <c r="E255" i="6" s="1"/>
  <c r="F255" i="6" s="1" a="1"/>
  <c r="F255" i="6" s="1"/>
  <c r="D256" i="6" l="1"/>
  <c r="E256" i="6" s="1" a="1"/>
  <c r="E256" i="6" s="1"/>
  <c r="F256" i="6" s="1" a="1"/>
  <c r="F256" i="6" s="1"/>
  <c r="D257" i="6" l="1"/>
  <c r="E257" i="6" s="1" a="1"/>
  <c r="E257" i="6" s="1"/>
  <c r="F257" i="6" s="1" a="1"/>
  <c r="F257" i="6" s="1"/>
  <c r="D258" i="6" l="1"/>
  <c r="E258" i="6" s="1" a="1"/>
  <c r="E258" i="6" s="1"/>
  <c r="F258" i="6" s="1" a="1"/>
  <c r="F258" i="6" s="1"/>
  <c r="D259" i="6" l="1"/>
  <c r="E259" i="6" s="1" a="1"/>
  <c r="E259" i="6" s="1"/>
  <c r="F259" i="6" s="1" a="1"/>
  <c r="F259" i="6" s="1"/>
  <c r="D260" i="6" l="1"/>
  <c r="E260" i="6" s="1" a="1"/>
  <c r="E260" i="6" s="1"/>
  <c r="F260" i="6" s="1" a="1"/>
  <c r="F260" i="6" s="1"/>
  <c r="D261" i="6" l="1"/>
  <c r="E261" i="6" s="1" a="1"/>
  <c r="E261" i="6" s="1"/>
  <c r="F261" i="6" s="1" a="1"/>
  <c r="F261" i="6" s="1"/>
  <c r="D262" i="6" l="1"/>
  <c r="E262" i="6" s="1" a="1"/>
  <c r="E262" i="6" s="1"/>
  <c r="F262" i="6" s="1" a="1"/>
  <c r="F262" i="6" s="1"/>
  <c r="D263" i="6" l="1"/>
  <c r="E263" i="6" s="1" a="1"/>
  <c r="E263" i="6" s="1"/>
  <c r="F263" i="6" s="1" a="1"/>
  <c r="F263" i="6" s="1"/>
  <c r="D264" i="6" l="1"/>
  <c r="E264" i="6" s="1" a="1"/>
  <c r="E264" i="6" s="1"/>
  <c r="F264" i="6" s="1" a="1"/>
  <c r="F264" i="6" s="1"/>
  <c r="D265" i="6" l="1"/>
  <c r="E265" i="6" s="1" a="1"/>
  <c r="E265" i="6" s="1"/>
  <c r="F265" i="6" s="1" a="1"/>
  <c r="F265" i="6" s="1"/>
  <c r="D266" i="6" l="1"/>
  <c r="E266" i="6" s="1" a="1"/>
  <c r="E266" i="6" s="1"/>
  <c r="F266" i="6" s="1" a="1"/>
  <c r="F266" i="6" s="1"/>
  <c r="D267" i="6" l="1"/>
  <c r="E267" i="6" s="1" a="1"/>
  <c r="E267" i="6" s="1"/>
  <c r="F267" i="6" s="1" a="1"/>
  <c r="F267" i="6" s="1"/>
  <c r="D268" i="6" l="1"/>
  <c r="E268" i="6" s="1" a="1"/>
  <c r="E268" i="6" s="1"/>
  <c r="F268" i="6" s="1" a="1"/>
  <c r="F268" i="6" s="1"/>
  <c r="D269" i="6" l="1"/>
  <c r="E269" i="6" s="1" a="1"/>
  <c r="E269" i="6" s="1"/>
  <c r="F269" i="6" s="1" a="1"/>
  <c r="F269" i="6" s="1"/>
  <c r="D270" i="6" l="1"/>
  <c r="E270" i="6" s="1" a="1"/>
  <c r="E270" i="6" s="1"/>
  <c r="F270" i="6" s="1" a="1"/>
  <c r="F270" i="6" s="1"/>
  <c r="D271" i="6" l="1"/>
  <c r="E271" i="6" s="1" a="1"/>
  <c r="E271" i="6" s="1"/>
  <c r="F271" i="6" s="1" a="1"/>
  <c r="F271" i="6" s="1"/>
  <c r="D272" i="6" l="1"/>
  <c r="E272" i="6" s="1" a="1"/>
  <c r="E272" i="6" s="1"/>
  <c r="F272" i="6" s="1" a="1"/>
  <c r="F272" i="6" s="1"/>
  <c r="D273" i="6" l="1"/>
  <c r="E273" i="6" s="1" a="1"/>
  <c r="E273" i="6" s="1"/>
  <c r="F273" i="6" s="1" a="1"/>
  <c r="F273" i="6" s="1"/>
  <c r="D274" i="6" l="1"/>
  <c r="E274" i="6" s="1" a="1"/>
  <c r="E274" i="6" s="1"/>
  <c r="F274" i="6" s="1" a="1"/>
  <c r="F274" i="6" s="1"/>
  <c r="D275" i="6" l="1"/>
  <c r="E275" i="6" s="1" a="1"/>
  <c r="E275" i="6" s="1"/>
  <c r="F275" i="6" s="1" a="1"/>
  <c r="F275" i="6" s="1"/>
  <c r="D276" i="6" l="1"/>
  <c r="E276" i="6" s="1" a="1"/>
  <c r="E276" i="6" s="1"/>
  <c r="F276" i="6" s="1" a="1"/>
  <c r="F276" i="6" s="1"/>
  <c r="D277" i="6" l="1"/>
  <c r="E277" i="6" s="1" a="1"/>
  <c r="E277" i="6" s="1"/>
  <c r="F277" i="6" s="1" a="1"/>
  <c r="F277" i="6" s="1"/>
  <c r="D278" i="6" l="1"/>
  <c r="E278" i="6" s="1" a="1"/>
  <c r="E278" i="6" s="1"/>
  <c r="F278" i="6" s="1" a="1"/>
  <c r="F278" i="6" s="1"/>
  <c r="D279" i="6" l="1"/>
  <c r="E279" i="6" s="1" a="1"/>
  <c r="E279" i="6" s="1"/>
  <c r="F279" i="6" s="1" a="1"/>
  <c r="F279" i="6" s="1"/>
  <c r="D280" i="6" l="1"/>
  <c r="E280" i="6" s="1" a="1"/>
  <c r="E280" i="6" s="1"/>
  <c r="F280" i="6" s="1" a="1"/>
  <c r="F280" i="6" s="1"/>
  <c r="D281" i="6" l="1"/>
  <c r="E281" i="6" s="1" a="1"/>
  <c r="E281" i="6" s="1"/>
  <c r="F281" i="6" s="1" a="1"/>
  <c r="F281" i="6" s="1"/>
  <c r="D282" i="6" l="1"/>
  <c r="E282" i="6" s="1" a="1"/>
  <c r="E282" i="6" s="1"/>
  <c r="F282" i="6" s="1" a="1"/>
  <c r="F282" i="6" s="1"/>
  <c r="D283" i="6" l="1"/>
  <c r="E283" i="6" s="1" a="1"/>
  <c r="E283" i="6" s="1"/>
  <c r="F283" i="6" s="1" a="1"/>
  <c r="F283" i="6" s="1"/>
  <c r="D284" i="6" l="1"/>
  <c r="E284" i="6" s="1" a="1"/>
  <c r="E284" i="6" s="1"/>
  <c r="F284" i="6" s="1" a="1"/>
  <c r="F284" i="6" s="1"/>
  <c r="D285" i="6" l="1"/>
  <c r="E285" i="6" s="1" a="1"/>
  <c r="E285" i="6" s="1"/>
  <c r="F285" i="6" s="1" a="1"/>
  <c r="F285" i="6" s="1"/>
  <c r="D286" i="6" l="1"/>
  <c r="E286" i="6" s="1" a="1"/>
  <c r="E286" i="6" s="1"/>
  <c r="F286" i="6" s="1" a="1"/>
  <c r="F286" i="6" s="1"/>
  <c r="D287" i="6" l="1"/>
  <c r="E287" i="6" s="1" a="1"/>
  <c r="E287" i="6" s="1"/>
  <c r="F287" i="6" s="1" a="1"/>
  <c r="F287" i="6" s="1"/>
  <c r="D288" i="6" l="1"/>
  <c r="E288" i="6" s="1" a="1"/>
  <c r="E288" i="6" s="1"/>
  <c r="F288" i="6" s="1" a="1"/>
  <c r="F288" i="6" s="1"/>
  <c r="D289" i="6" l="1"/>
  <c r="E289" i="6" s="1" a="1"/>
  <c r="E289" i="6" s="1"/>
  <c r="F289" i="6" s="1" a="1"/>
  <c r="F289" i="6" s="1"/>
  <c r="D290" i="6" l="1"/>
  <c r="E290" i="6" s="1" a="1"/>
  <c r="E290" i="6" s="1"/>
  <c r="F290" i="6" s="1" a="1"/>
  <c r="F290" i="6" s="1"/>
  <c r="D291" i="6" l="1"/>
  <c r="E291" i="6" s="1" a="1"/>
  <c r="E291" i="6" s="1"/>
  <c r="F291" i="6" s="1" a="1"/>
  <c r="F291" i="6" s="1"/>
  <c r="D292" i="6" l="1"/>
  <c r="E292" i="6" s="1" a="1"/>
  <c r="E292" i="6" s="1"/>
  <c r="F292" i="6" s="1" a="1"/>
  <c r="F292" i="6" s="1"/>
  <c r="D293" i="6" l="1"/>
  <c r="E293" i="6" s="1" a="1"/>
  <c r="E293" i="6" s="1"/>
  <c r="F293" i="6" s="1" a="1"/>
  <c r="F293" i="6" s="1"/>
  <c r="D294" i="6" l="1"/>
  <c r="E294" i="6" s="1" a="1"/>
  <c r="E294" i="6" s="1"/>
  <c r="F294" i="6" s="1" a="1"/>
  <c r="F294" i="6" s="1"/>
  <c r="D295" i="6" l="1"/>
  <c r="E295" i="6" s="1" a="1"/>
  <c r="E295" i="6" s="1"/>
  <c r="F295" i="6" s="1" a="1"/>
  <c r="F295" i="6" s="1"/>
  <c r="D296" i="6" l="1"/>
  <c r="E296" i="6" s="1" a="1"/>
  <c r="E296" i="6" s="1"/>
  <c r="F296" i="6" s="1" a="1"/>
  <c r="F296" i="6" s="1"/>
  <c r="D297" i="6" l="1"/>
  <c r="E297" i="6" s="1" a="1"/>
  <c r="E297" i="6" s="1"/>
  <c r="F297" i="6" s="1" a="1"/>
  <c r="F297" i="6" s="1"/>
  <c r="D298" i="6" l="1"/>
  <c r="E298" i="6" s="1" a="1"/>
  <c r="E298" i="6" s="1"/>
  <c r="F298" i="6" s="1" a="1"/>
  <c r="F298" i="6" s="1"/>
  <c r="D299" i="6" l="1"/>
  <c r="E299" i="6" s="1" a="1"/>
  <c r="E299" i="6" s="1"/>
  <c r="F299" i="6" s="1" a="1"/>
  <c r="F299" i="6" s="1"/>
  <c r="D300" i="6" l="1"/>
  <c r="E300" i="6" s="1" a="1"/>
  <c r="E300" i="6" s="1"/>
  <c r="F300" i="6" s="1" a="1"/>
  <c r="F300" i="6" s="1"/>
  <c r="D301" i="6" l="1"/>
  <c r="E301" i="6" s="1" a="1"/>
  <c r="E301" i="6" s="1"/>
  <c r="F301" i="6" s="1" a="1"/>
  <c r="F301" i="6" s="1"/>
  <c r="D302" i="6" l="1"/>
  <c r="E302" i="6" s="1" a="1"/>
  <c r="E302" i="6" s="1"/>
  <c r="F302" i="6" s="1" a="1"/>
  <c r="F302" i="6" s="1"/>
  <c r="D303" i="6" l="1"/>
  <c r="E303" i="6" s="1" a="1"/>
  <c r="E303" i="6" s="1"/>
  <c r="F303" i="6" s="1" a="1"/>
  <c r="F303" i="6" s="1"/>
  <c r="D304" i="6" l="1"/>
  <c r="E304" i="6" s="1" a="1"/>
  <c r="E304" i="6" s="1"/>
  <c r="F304" i="6" s="1" a="1"/>
  <c r="F304" i="6" s="1"/>
  <c r="D305" i="6" l="1"/>
  <c r="E305" i="6" s="1" a="1"/>
  <c r="E305" i="6" s="1"/>
  <c r="F305" i="6" s="1" a="1"/>
  <c r="F305" i="6" s="1"/>
  <c r="D306" i="6" l="1"/>
  <c r="E306" i="6" s="1" a="1"/>
  <c r="E306" i="6" s="1"/>
  <c r="F306" i="6" s="1" a="1"/>
  <c r="F306" i="6" s="1"/>
  <c r="D307" i="6" l="1"/>
  <c r="E307" i="6" s="1" a="1"/>
  <c r="E307" i="6" s="1"/>
  <c r="F307" i="6" s="1" a="1"/>
  <c r="F307" i="6" s="1"/>
  <c r="D308" i="6" l="1"/>
  <c r="E308" i="6" s="1" a="1"/>
  <c r="E308" i="6" s="1"/>
  <c r="F308" i="6" s="1" a="1"/>
  <c r="F308" i="6" s="1"/>
  <c r="D309" i="6" l="1"/>
  <c r="E309" i="6" s="1" a="1"/>
  <c r="E309" i="6" s="1"/>
  <c r="F309" i="6" s="1" a="1"/>
  <c r="F309" i="6" s="1"/>
  <c r="D310" i="6" l="1"/>
  <c r="E310" i="6" s="1" a="1"/>
  <c r="E310" i="6" s="1"/>
  <c r="F310" i="6" s="1" a="1"/>
  <c r="F310" i="6" s="1"/>
  <c r="D311" i="6" l="1"/>
  <c r="E311" i="6" s="1" a="1"/>
  <c r="E311" i="6" s="1"/>
  <c r="F311" i="6" s="1" a="1"/>
  <c r="F311" i="6" s="1"/>
  <c r="D312" i="6" l="1"/>
  <c r="E312" i="6" s="1" a="1"/>
  <c r="E312" i="6" s="1"/>
  <c r="F312" i="6" s="1" a="1"/>
  <c r="F312" i="6" s="1"/>
  <c r="D313" i="6" l="1"/>
  <c r="E313" i="6" s="1" a="1"/>
  <c r="E313" i="6" s="1"/>
  <c r="F313" i="6" s="1" a="1"/>
  <c r="F313" i="6" s="1"/>
  <c r="D314" i="6" l="1"/>
  <c r="E314" i="6" s="1" a="1"/>
  <c r="E314" i="6" s="1"/>
  <c r="F314" i="6" s="1" a="1"/>
  <c r="F314" i="6" s="1"/>
  <c r="D315" i="6" l="1"/>
  <c r="E315" i="6" s="1" a="1"/>
  <c r="E315" i="6" s="1"/>
  <c r="F315" i="6" s="1" a="1"/>
  <c r="F315" i="6" s="1"/>
  <c r="D316" i="6" l="1"/>
  <c r="E316" i="6" s="1" a="1"/>
  <c r="E316" i="6" s="1"/>
  <c r="F316" i="6" s="1" a="1"/>
  <c r="F316" i="6" s="1"/>
  <c r="D317" i="6" l="1"/>
  <c r="E317" i="6" s="1" a="1"/>
  <c r="E317" i="6" s="1"/>
  <c r="F317" i="6" s="1" a="1"/>
  <c r="F317" i="6" s="1"/>
  <c r="D318" i="6" l="1"/>
  <c r="E318" i="6" s="1" a="1"/>
  <c r="E318" i="6" s="1"/>
  <c r="F318" i="6" s="1" a="1"/>
  <c r="F318" i="6" s="1"/>
  <c r="D319" i="6" l="1"/>
  <c r="E319" i="6" s="1" a="1"/>
  <c r="E319" i="6" s="1"/>
  <c r="F319" i="6" s="1" a="1"/>
  <c r="F319" i="6" s="1"/>
  <c r="D320" i="6" l="1"/>
  <c r="E320" i="6" s="1" a="1"/>
  <c r="E320" i="6" s="1"/>
  <c r="F320" i="6" s="1" a="1"/>
  <c r="F320" i="6" s="1"/>
  <c r="D321" i="6" l="1"/>
  <c r="E321" i="6" s="1" a="1"/>
  <c r="E321" i="6" s="1"/>
  <c r="F321" i="6" s="1" a="1"/>
  <c r="F321" i="6" s="1"/>
  <c r="D322" i="6" l="1"/>
  <c r="E322" i="6" s="1" a="1"/>
  <c r="E322" i="6" s="1"/>
  <c r="F322" i="6" s="1" a="1"/>
  <c r="F322" i="6" s="1"/>
  <c r="D323" i="6" l="1"/>
  <c r="E323" i="6" s="1" a="1"/>
  <c r="E323" i="6" s="1"/>
  <c r="F323" i="6" s="1" a="1"/>
  <c r="F323" i="6" s="1"/>
  <c r="D324" i="6" l="1"/>
  <c r="E324" i="6" s="1" a="1"/>
  <c r="E324" i="6" s="1"/>
  <c r="F324" i="6" s="1" a="1"/>
  <c r="F324" i="6" s="1"/>
  <c r="D325" i="6" l="1"/>
  <c r="E325" i="6" s="1" a="1"/>
  <c r="E325" i="6" s="1"/>
  <c r="F325" i="6" s="1" a="1"/>
  <c r="F325" i="6" s="1"/>
  <c r="D326" i="6" l="1"/>
  <c r="E326" i="6" s="1" a="1"/>
  <c r="E326" i="6" s="1"/>
  <c r="F326" i="6" s="1" a="1"/>
  <c r="F326" i="6" s="1"/>
  <c r="D327" i="6" l="1"/>
  <c r="E327" i="6" s="1" a="1"/>
  <c r="E327" i="6" s="1"/>
  <c r="F327" i="6" s="1" a="1"/>
  <c r="F327" i="6" s="1"/>
  <c r="D328" i="6" l="1"/>
  <c r="E328" i="6" s="1" a="1"/>
  <c r="E328" i="6" s="1"/>
  <c r="F328" i="6" s="1" a="1"/>
  <c r="F328" i="6" s="1"/>
  <c r="D329" i="6" l="1"/>
  <c r="E329" i="6" s="1" a="1"/>
  <c r="E329" i="6" s="1"/>
  <c r="F329" i="6" s="1" a="1"/>
  <c r="F329" i="6" s="1"/>
  <c r="D330" i="6" l="1"/>
  <c r="E330" i="6" s="1" a="1"/>
  <c r="E330" i="6" s="1"/>
  <c r="F330" i="6" s="1" a="1"/>
  <c r="F330" i="6" s="1"/>
  <c r="D331" i="6" l="1"/>
  <c r="E331" i="6" s="1" a="1"/>
  <c r="E331" i="6" s="1"/>
  <c r="F331" i="6" s="1" a="1"/>
  <c r="F331" i="6" s="1"/>
  <c r="D332" i="6" l="1"/>
  <c r="E332" i="6" s="1" a="1"/>
  <c r="E332" i="6" s="1"/>
  <c r="F332" i="6" s="1" a="1"/>
  <c r="F332" i="6" s="1"/>
  <c r="D333" i="6" l="1"/>
  <c r="E333" i="6" s="1" a="1"/>
  <c r="E333" i="6" s="1"/>
  <c r="F333" i="6" s="1" a="1"/>
  <c r="F333" i="6" s="1"/>
  <c r="D334" i="6" l="1"/>
  <c r="E334" i="6" s="1" a="1"/>
  <c r="E334" i="6" s="1"/>
  <c r="F334" i="6" s="1" a="1"/>
  <c r="F334" i="6" s="1"/>
  <c r="D335" i="6" l="1"/>
  <c r="E335" i="6" s="1" a="1"/>
  <c r="E335" i="6" s="1"/>
  <c r="F335" i="6" s="1" a="1"/>
  <c r="F335" i="6" s="1"/>
  <c r="D336" i="6" l="1"/>
  <c r="E336" i="6" s="1" a="1"/>
  <c r="E336" i="6" s="1"/>
  <c r="F336" i="6" s="1" a="1"/>
  <c r="F336" i="6" s="1"/>
  <c r="D337" i="6" l="1"/>
  <c r="E337" i="6" s="1" a="1"/>
  <c r="E337" i="6" s="1"/>
  <c r="F337" i="6" s="1" a="1"/>
  <c r="F337" i="6" s="1"/>
  <c r="D338" i="6" l="1"/>
  <c r="E338" i="6" s="1" a="1"/>
  <c r="E338" i="6" s="1"/>
  <c r="F338" i="6" s="1" a="1"/>
  <c r="F338" i="6" s="1"/>
  <c r="D339" i="6" l="1"/>
  <c r="E339" i="6" s="1" a="1"/>
  <c r="E339" i="6" s="1"/>
  <c r="F339" i="6" s="1" a="1"/>
  <c r="F339" i="6" s="1"/>
  <c r="D340" i="6" l="1"/>
  <c r="E340" i="6" s="1" a="1"/>
  <c r="E340" i="6" s="1"/>
  <c r="F340" i="6" s="1" a="1"/>
  <c r="F340" i="6" s="1"/>
  <c r="D341" i="6" l="1"/>
  <c r="E341" i="6" s="1" a="1"/>
  <c r="E341" i="6" s="1"/>
  <c r="F341" i="6" s="1" a="1"/>
  <c r="F341" i="6" s="1"/>
  <c r="D342" i="6" l="1"/>
  <c r="E342" i="6" s="1" a="1"/>
  <c r="E342" i="6" s="1"/>
  <c r="F342" i="6" s="1" a="1"/>
  <c r="F342" i="6" s="1"/>
  <c r="D343" i="6" l="1"/>
  <c r="E343" i="6" s="1" a="1"/>
  <c r="E343" i="6" s="1"/>
  <c r="F343" i="6" s="1" a="1"/>
  <c r="F343" i="6" s="1"/>
  <c r="D344" i="6" l="1"/>
  <c r="E344" i="6" s="1" a="1"/>
  <c r="E344" i="6" s="1"/>
  <c r="F344" i="6" s="1" a="1"/>
  <c r="F344" i="6" s="1"/>
  <c r="D345" i="6" l="1"/>
  <c r="E345" i="6" s="1" a="1"/>
  <c r="E345" i="6" s="1"/>
  <c r="F345" i="6" s="1" a="1"/>
  <c r="F345" i="6" s="1"/>
  <c r="D346" i="6" l="1"/>
  <c r="E346" i="6" s="1" a="1"/>
  <c r="E346" i="6" s="1"/>
  <c r="F346" i="6" s="1" a="1"/>
  <c r="F346" i="6" s="1"/>
  <c r="D347" i="6" l="1"/>
  <c r="E347" i="6" s="1" a="1"/>
  <c r="E347" i="6" s="1"/>
  <c r="F347" i="6" s="1" a="1"/>
  <c r="F347" i="6" s="1"/>
  <c r="D348" i="6" l="1"/>
  <c r="E348" i="6" s="1" a="1"/>
  <c r="E348" i="6" s="1"/>
  <c r="F348" i="6" s="1" a="1"/>
  <c r="F348" i="6" s="1"/>
  <c r="D349" i="6" l="1"/>
  <c r="E349" i="6" s="1" a="1"/>
  <c r="E349" i="6" s="1"/>
  <c r="F349" i="6" s="1" a="1"/>
  <c r="F349" i="6" s="1"/>
  <c r="D350" i="6" l="1"/>
  <c r="E350" i="6" s="1" a="1"/>
  <c r="E350" i="6" s="1"/>
  <c r="F350" i="6" s="1" a="1"/>
  <c r="F350" i="6" s="1"/>
  <c r="D351" i="6" l="1"/>
  <c r="E351" i="6" s="1" a="1"/>
  <c r="E351" i="6" s="1"/>
  <c r="F351" i="6" s="1" a="1"/>
  <c r="F351" i="6" s="1"/>
  <c r="D352" i="6" l="1"/>
  <c r="E352" i="6" s="1" a="1"/>
  <c r="E352" i="6" s="1"/>
  <c r="F352" i="6" s="1" a="1"/>
  <c r="F352" i="6" s="1"/>
  <c r="D353" i="6" l="1"/>
  <c r="E353" i="6" s="1" a="1"/>
  <c r="E353" i="6" s="1"/>
  <c r="F353" i="6" s="1" a="1"/>
  <c r="F353" i="6" s="1"/>
  <c r="D354" i="6" l="1"/>
  <c r="E354" i="6" s="1" a="1"/>
  <c r="E354" i="6" s="1"/>
  <c r="F354" i="6" s="1" a="1"/>
  <c r="F354" i="6" s="1"/>
  <c r="D355" i="6" l="1"/>
  <c r="E355" i="6" s="1" a="1"/>
  <c r="E355" i="6" s="1"/>
  <c r="F355" i="6" s="1" a="1"/>
  <c r="F355" i="6" s="1"/>
  <c r="D356" i="6" l="1"/>
  <c r="E356" i="6" s="1" a="1"/>
  <c r="E356" i="6" s="1"/>
  <c r="F356" i="6" s="1" a="1"/>
  <c r="F356" i="6" s="1"/>
  <c r="D357" i="6" l="1"/>
  <c r="E357" i="6" s="1" a="1"/>
  <c r="E357" i="6" s="1"/>
  <c r="F357" i="6" s="1" a="1"/>
  <c r="F357" i="6" s="1"/>
  <c r="D358" i="6" l="1"/>
  <c r="E358" i="6" s="1" a="1"/>
  <c r="E358" i="6" s="1"/>
  <c r="F358" i="6" s="1" a="1"/>
  <c r="F358" i="6" s="1"/>
  <c r="D359" i="6" l="1"/>
  <c r="E359" i="6" s="1" a="1"/>
  <c r="E359" i="6" s="1"/>
  <c r="F359" i="6" s="1" a="1"/>
  <c r="F359" i="6" s="1"/>
  <c r="D360" i="6" l="1"/>
  <c r="E360" i="6" s="1" a="1"/>
  <c r="E360" i="6" s="1"/>
  <c r="F360" i="6" s="1" a="1"/>
  <c r="F360" i="6" s="1"/>
  <c r="D361" i="6" l="1"/>
  <c r="E361" i="6" s="1" a="1"/>
  <c r="E361" i="6" s="1"/>
  <c r="F361" i="6" s="1" a="1"/>
  <c r="F361" i="6" s="1"/>
  <c r="D362" i="6" l="1"/>
  <c r="E362" i="6" s="1" a="1"/>
  <c r="E362" i="6" s="1"/>
  <c r="F362" i="6" s="1" a="1"/>
  <c r="F362" i="6" s="1"/>
  <c r="D363" i="6" l="1"/>
  <c r="E363" i="6" s="1" a="1"/>
  <c r="E363" i="6" s="1"/>
  <c r="F363" i="6" s="1" a="1"/>
  <c r="F363" i="6" s="1"/>
  <c r="D364" i="6" l="1"/>
  <c r="E364" i="6" s="1" a="1"/>
  <c r="E364" i="6" s="1"/>
  <c r="F364" i="6" s="1" a="1"/>
  <c r="F364" i="6" s="1"/>
  <c r="D365" i="6" l="1"/>
  <c r="E365" i="6" s="1" a="1"/>
  <c r="E365" i="6" s="1"/>
  <c r="F365" i="6" s="1" a="1"/>
  <c r="F365" i="6" s="1"/>
  <c r="D366" i="6" l="1"/>
  <c r="E366" i="6" s="1" a="1"/>
  <c r="E366" i="6" s="1"/>
  <c r="F366" i="6" s="1" a="1"/>
  <c r="F366" i="6" s="1"/>
  <c r="D367" i="6" l="1"/>
  <c r="E367" i="6" s="1" a="1"/>
  <c r="E367" i="6" s="1"/>
  <c r="F367" i="6" s="1" a="1"/>
  <c r="F367" i="6" s="1"/>
  <c r="D368" i="6" l="1"/>
  <c r="E368" i="6" s="1" a="1"/>
  <c r="E368" i="6" s="1"/>
  <c r="F368" i="6" s="1" a="1"/>
  <c r="F368" i="6" s="1"/>
  <c r="D369" i="6" l="1"/>
  <c r="E369" i="6" s="1" a="1"/>
  <c r="E369" i="6" s="1"/>
  <c r="F369" i="6" s="1" a="1"/>
  <c r="F369" i="6" s="1"/>
  <c r="D370" i="6" l="1"/>
  <c r="E370" i="6" s="1" a="1"/>
  <c r="E370" i="6" s="1"/>
  <c r="F370" i="6" s="1" a="1"/>
  <c r="F370" i="6" s="1"/>
  <c r="D371" i="6" l="1"/>
  <c r="E371" i="6" s="1" a="1"/>
  <c r="E371" i="6" s="1"/>
  <c r="F371" i="6" s="1" a="1"/>
  <c r="F371" i="6" s="1"/>
  <c r="D372" i="6" l="1"/>
  <c r="E372" i="6" s="1" a="1"/>
  <c r="E372" i="6" s="1"/>
  <c r="F372" i="6" s="1" a="1"/>
  <c r="F372" i="6" s="1"/>
  <c r="D373" i="6" l="1"/>
  <c r="E373" i="6" s="1" a="1"/>
  <c r="E373" i="6" s="1"/>
  <c r="F373" i="6" s="1" a="1"/>
  <c r="F373" i="6" s="1"/>
  <c r="D374" i="6" l="1"/>
  <c r="E374" i="6" s="1" a="1"/>
  <c r="E374" i="6" s="1"/>
  <c r="F374" i="6" s="1" a="1"/>
  <c r="F374" i="6" s="1"/>
  <c r="D375" i="6" l="1"/>
  <c r="E375" i="6" s="1" a="1"/>
  <c r="E375" i="6" s="1"/>
  <c r="F375" i="6" s="1" a="1"/>
  <c r="F375" i="6" s="1"/>
  <c r="D376" i="6" l="1"/>
  <c r="E376" i="6" s="1" a="1"/>
  <c r="E376" i="6" s="1"/>
  <c r="F376" i="6" s="1" a="1"/>
  <c r="F376" i="6" s="1"/>
  <c r="D377" i="6" l="1"/>
  <c r="E377" i="6" s="1" a="1"/>
  <c r="E377" i="6" s="1"/>
  <c r="F377" i="6" s="1" a="1"/>
  <c r="F377" i="6" s="1"/>
  <c r="D378" i="6" l="1"/>
  <c r="E378" i="6" s="1" a="1"/>
  <c r="E378" i="6" s="1"/>
  <c r="F378" i="6" s="1" a="1"/>
  <c r="F378" i="6" s="1"/>
  <c r="D379" i="6" l="1"/>
  <c r="E379" i="6" s="1" a="1"/>
  <c r="E379" i="6" s="1"/>
  <c r="F379" i="6" s="1" a="1"/>
  <c r="F379" i="6" s="1"/>
  <c r="D380" i="6" l="1"/>
  <c r="E380" i="6" s="1" a="1"/>
  <c r="E380" i="6" s="1"/>
  <c r="F380" i="6" s="1" a="1"/>
  <c r="F380" i="6" s="1"/>
  <c r="D381" i="6" l="1"/>
  <c r="E381" i="6" s="1" a="1"/>
  <c r="E381" i="6" s="1"/>
  <c r="F381" i="6" s="1" a="1"/>
  <c r="F381" i="6" s="1"/>
  <c r="D382" i="6" l="1"/>
  <c r="E382" i="6" s="1" a="1"/>
  <c r="E382" i="6" s="1"/>
  <c r="F382" i="6" s="1" a="1"/>
  <c r="F382" i="6" s="1"/>
  <c r="D383" i="6" l="1"/>
  <c r="E383" i="6" l="1" a="1"/>
  <c r="E383" i="6" s="1"/>
  <c r="F383" i="6" s="1" a="1"/>
  <c r="F383" i="6" s="1"/>
  <c r="D384" i="6"/>
  <c r="E384" i="6" s="1" a="1"/>
  <c r="E384" i="6" s="1"/>
  <c r="F384" i="6" s="1" a="1"/>
  <c r="F384" i="6" s="1"/>
  <c r="D385" i="6" l="1"/>
  <c r="E385" i="6" s="1" a="1"/>
  <c r="E385" i="6" s="1"/>
  <c r="F385" i="6" s="1" a="1"/>
  <c r="F385" i="6" s="1"/>
  <c r="D386" i="6" l="1"/>
  <c r="E386" i="6" s="1" a="1"/>
  <c r="E386" i="6" s="1"/>
  <c r="F386" i="6" s="1" a="1"/>
  <c r="F386" i="6" s="1"/>
  <c r="D387" i="6" l="1"/>
  <c r="E387" i="6" s="1" a="1"/>
  <c r="E387" i="6" s="1"/>
  <c r="F387" i="6" s="1" a="1"/>
  <c r="F387" i="6" s="1"/>
  <c r="D388" i="6" l="1"/>
  <c r="E388" i="6" s="1" a="1"/>
  <c r="E388" i="6" s="1"/>
  <c r="F388" i="6" s="1" a="1"/>
  <c r="F388" i="6" s="1"/>
  <c r="D389" i="6" l="1"/>
  <c r="E389" i="6" s="1" a="1"/>
  <c r="E389" i="6" s="1"/>
  <c r="F389" i="6" s="1" a="1"/>
  <c r="F389" i="6" s="1"/>
  <c r="D390" i="6" l="1"/>
  <c r="E390" i="6" s="1" a="1"/>
  <c r="E390" i="6" s="1"/>
  <c r="F390" i="6" s="1" a="1"/>
  <c r="F390" i="6" s="1"/>
  <c r="D391" i="6" l="1"/>
  <c r="E391" i="6" s="1" a="1"/>
  <c r="E391" i="6" s="1"/>
  <c r="F391" i="6" s="1" a="1"/>
  <c r="F391" i="6" s="1"/>
  <c r="D392" i="6" l="1"/>
  <c r="E392" i="6" s="1" a="1"/>
  <c r="E392" i="6" s="1"/>
  <c r="F392" i="6" s="1" a="1"/>
  <c r="F392" i="6" s="1"/>
  <c r="D393" i="6" l="1"/>
  <c r="E393" i="6" s="1" a="1"/>
  <c r="E393" i="6" s="1"/>
  <c r="F393" i="6" s="1" a="1"/>
  <c r="F393" i="6" s="1"/>
  <c r="D394" i="6" l="1"/>
  <c r="E394" i="6" s="1" a="1"/>
  <c r="E394" i="6" s="1"/>
  <c r="F394" i="6" s="1" a="1"/>
  <c r="F394" i="6" s="1"/>
  <c r="D395" i="6" l="1"/>
  <c r="E395" i="6" s="1" a="1"/>
  <c r="E395" i="6" s="1"/>
  <c r="F395" i="6" s="1" a="1"/>
  <c r="F395" i="6" s="1"/>
  <c r="D396" i="6" l="1"/>
  <c r="E396" i="6" s="1" a="1"/>
  <c r="E396" i="6" s="1"/>
  <c r="F396" i="6" s="1" a="1"/>
  <c r="F396" i="6" s="1"/>
  <c r="D397" i="6" l="1"/>
  <c r="E397" i="6" s="1" a="1"/>
  <c r="E397" i="6" s="1"/>
  <c r="F397" i="6" s="1" a="1"/>
  <c r="F397" i="6" s="1"/>
  <c r="D398" i="6" l="1"/>
  <c r="E398" i="6" s="1" a="1"/>
  <c r="E398" i="6" s="1"/>
  <c r="F398" i="6" s="1" a="1"/>
  <c r="F398" i="6" s="1"/>
  <c r="D399" i="6" l="1"/>
  <c r="E399" i="6" s="1" a="1"/>
  <c r="E399" i="6" s="1"/>
  <c r="F399" i="6" s="1" a="1"/>
  <c r="F399" i="6" s="1"/>
  <c r="D400" i="6" l="1"/>
  <c r="D9" i="6" l="1"/>
  <c r="D11" i="6"/>
  <c r="D13" i="6"/>
  <c r="D10" i="6"/>
  <c r="D12" i="6"/>
  <c r="E400" i="6" a="1"/>
  <c r="E400" i="6" s="1"/>
  <c r="F400" i="6" s="1" a="1"/>
  <c r="F400" i="6" s="1"/>
  <c r="F9" i="6" s="1"/>
  <c r="E9" i="6" l="1"/>
  <c r="F12" i="6"/>
  <c r="F11" i="6"/>
  <c r="F13" i="6"/>
  <c r="F10" i="6"/>
  <c r="E10" i="6"/>
  <c r="E13" i="6"/>
  <c r="E11" i="6"/>
  <c r="E12" i="6"/>
  <c r="E59" i="7"/>
  <c r="E45" i="7"/>
  <c r="E52" i="7"/>
  <c r="E22" i="7"/>
  <c r="E20" i="7"/>
  <c r="E36" i="7"/>
  <c r="E38" i="7"/>
  <c r="E41" i="7"/>
  <c r="E29" i="7"/>
  <c r="E56" i="7"/>
  <c r="E35" i="7"/>
  <c r="E27" i="7"/>
  <c r="C25" i="7"/>
  <c r="D25" i="7"/>
  <c r="C49" i="7"/>
  <c r="D49" i="7"/>
  <c r="D30" i="7"/>
  <c r="C30" i="7"/>
  <c r="D50" i="7"/>
  <c r="C50" i="7"/>
  <c r="E43" i="7"/>
  <c r="C46" i="7"/>
  <c r="D46" i="7"/>
  <c r="E61" i="7"/>
  <c r="E19" i="7"/>
  <c r="D57" i="7"/>
  <c r="C57" i="7"/>
  <c r="E57" i="7"/>
  <c r="E33" i="7"/>
  <c r="E42" i="7"/>
  <c r="E44" i="7"/>
  <c r="E30" i="7"/>
  <c r="C43" i="7"/>
  <c r="D43" i="7"/>
  <c r="C47" i="7"/>
  <c r="D47" i="7"/>
  <c r="C17" i="7"/>
  <c r="D17" i="7"/>
  <c r="D44" i="7"/>
  <c r="C44" i="7"/>
  <c r="C34" i="7"/>
  <c r="D34" i="7"/>
  <c r="C16" i="7"/>
  <c r="D16" i="7"/>
  <c r="C65" i="7"/>
  <c r="D65" i="7"/>
  <c r="E54" i="7"/>
  <c r="D20" i="7"/>
  <c r="C20" i="7"/>
  <c r="C48" i="7"/>
  <c r="D48" i="7"/>
  <c r="E50" i="7"/>
  <c r="E26" i="7"/>
  <c r="C64" i="7"/>
  <c r="D64" i="7"/>
  <c r="D37" i="7"/>
  <c r="C37" i="7"/>
  <c r="D23" i="7"/>
  <c r="C23" i="7"/>
  <c r="C63" i="7"/>
  <c r="D63" i="7"/>
  <c r="D31" i="7"/>
  <c r="C31" i="7"/>
  <c r="E47" i="7"/>
  <c r="E55" i="7"/>
  <c r="E31" i="7"/>
  <c r="E32" i="7"/>
  <c r="E48" i="7"/>
  <c r="E23" i="7"/>
  <c r="E63" i="7"/>
  <c r="E37" i="7"/>
  <c r="C24" i="7"/>
  <c r="D24" i="7"/>
  <c r="C56" i="7"/>
  <c r="D56" i="7"/>
  <c r="E34" i="7"/>
  <c r="C59" i="7"/>
  <c r="D59" i="7"/>
  <c r="C66" i="7"/>
  <c r="F63" i="7"/>
  <c r="F64" i="7"/>
  <c r="F65" i="7"/>
  <c r="F66" i="7"/>
  <c r="D66" i="7"/>
  <c r="C29" i="7"/>
  <c r="D29" i="7"/>
  <c r="C58" i="7"/>
  <c r="D58" i="7"/>
  <c r="C22" i="7"/>
  <c r="D22" i="7"/>
  <c r="D27" i="7"/>
  <c r="C27" i="7"/>
  <c r="E24" i="7"/>
  <c r="E58" i="7"/>
  <c r="E49" i="7"/>
  <c r="E65" i="7"/>
  <c r="E21" i="7"/>
  <c r="E60" i="7"/>
  <c r="E16" i="7"/>
  <c r="C62" i="7"/>
  <c r="F62" i="7"/>
  <c r="D62" i="7"/>
  <c r="E62" i="7"/>
  <c r="C28" i="7"/>
  <c r="D28" i="7"/>
  <c r="C21" i="7"/>
  <c r="D21" i="7"/>
  <c r="E40" i="7"/>
  <c r="C32" i="7"/>
  <c r="D32" i="7"/>
  <c r="C35" i="7"/>
  <c r="D35" i="7"/>
  <c r="C39" i="7"/>
  <c r="D39" i="7"/>
  <c r="D51" i="7"/>
  <c r="C51" i="7"/>
  <c r="C53" i="7"/>
  <c r="D53" i="7"/>
  <c r="C40" i="7"/>
  <c r="D40" i="7"/>
  <c r="D55" i="7"/>
  <c r="C55" i="7"/>
  <c r="C33" i="7"/>
  <c r="D33" i="7"/>
  <c r="D52" i="7"/>
  <c r="C52" i="7"/>
  <c r="D36" i="7"/>
  <c r="C36" i="7"/>
  <c r="C60" i="7"/>
  <c r="D60" i="7"/>
  <c r="D41" i="7"/>
  <c r="C41" i="7"/>
  <c r="C42" i="7"/>
  <c r="D42" i="7"/>
  <c r="E25" i="7"/>
  <c r="D61" i="7"/>
  <c r="F55" i="7"/>
  <c r="F56" i="7"/>
  <c r="F57" i="7"/>
  <c r="F58" i="7"/>
  <c r="F59" i="7"/>
  <c r="F60" i="7"/>
  <c r="F61" i="7"/>
  <c r="C61" i="7"/>
  <c r="E39" i="7"/>
  <c r="D45" i="7"/>
  <c r="C45" i="7"/>
  <c r="E18" i="7"/>
  <c r="C18" i="7"/>
  <c r="D18" i="7"/>
  <c r="D19" i="7"/>
  <c r="C19" i="7"/>
  <c r="C54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D54" i="7"/>
  <c r="C38" i="7"/>
  <c r="F27" i="7"/>
  <c r="F28" i="7"/>
  <c r="F29" i="7"/>
  <c r="F30" i="7"/>
  <c r="F31" i="7"/>
  <c r="F32" i="7"/>
  <c r="F33" i="7"/>
  <c r="F34" i="7"/>
  <c r="F35" i="7"/>
  <c r="F36" i="7"/>
  <c r="F37" i="7"/>
  <c r="F38" i="7"/>
  <c r="D38" i="7"/>
  <c r="C26" i="7"/>
  <c r="E15" i="7"/>
  <c r="F16" i="7"/>
  <c r="F17" i="7"/>
  <c r="F18" i="7"/>
  <c r="F19" i="7"/>
  <c r="F20" i="7"/>
  <c r="F21" i="7"/>
  <c r="F22" i="7"/>
  <c r="F23" i="7"/>
  <c r="F24" i="7"/>
  <c r="F25" i="7"/>
  <c r="F26" i="7"/>
  <c r="D26" i="7"/>
  <c r="E53" i="7"/>
  <c r="E51" i="7"/>
  <c r="G65" i="7"/>
  <c r="G66" i="7"/>
  <c r="E6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E64" i="7"/>
  <c r="E17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E46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E28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<sst xmlns="http://schemas.openxmlformats.org/spreadsheetml/2006/main" count="71" uniqueCount="60">
  <si>
    <t>Area</t>
  </si>
  <si>
    <t>Radio</t>
  </si>
  <si>
    <t>Particulas dentro del circulo</t>
  </si>
  <si>
    <t>Total particulas</t>
  </si>
  <si>
    <t>EJERCICIO 1 PI</t>
  </si>
  <si>
    <t xml:space="preserve">Ingrese tamaño del lado </t>
  </si>
  <si>
    <t>Pi</t>
  </si>
  <si>
    <t>i</t>
  </si>
  <si>
    <t>SUPERMERCADO</t>
  </si>
  <si>
    <t>DIAS</t>
  </si>
  <si>
    <t>Bodega</t>
  </si>
  <si>
    <t>Produccio Dia</t>
  </si>
  <si>
    <t>Venta Dia</t>
  </si>
  <si>
    <t>Incial</t>
  </si>
  <si>
    <t>Produccion</t>
  </si>
  <si>
    <t>ventas</t>
  </si>
  <si>
    <t>PI</t>
  </si>
  <si>
    <t>Precio de venta</t>
  </si>
  <si>
    <t>Costo unitario Inventario</t>
  </si>
  <si>
    <t>Costo unitario Deficit</t>
  </si>
  <si>
    <t>Utilidad Promedio</t>
  </si>
  <si>
    <t>Inv. Promedio Bodega</t>
  </si>
  <si>
    <t>Promedio Produccion</t>
  </si>
  <si>
    <t>Valores Aleatorio</t>
  </si>
  <si>
    <t>Desde</t>
  </si>
  <si>
    <t>Hasta</t>
  </si>
  <si>
    <t>Ventas</t>
  </si>
  <si>
    <t>Prod.Diaria recomendada</t>
  </si>
  <si>
    <t>Déficit bodega</t>
  </si>
  <si>
    <t>Costo Produccion</t>
  </si>
  <si>
    <t>Numero deseado de criminales</t>
  </si>
  <si>
    <t>Tasa de reclutamiento</t>
  </si>
  <si>
    <t>1 / 4 deseados y activos</t>
  </si>
  <si>
    <t>Tasa de captura</t>
  </si>
  <si>
    <t>5% de los activos</t>
  </si>
  <si>
    <t>Tasa de escape</t>
  </si>
  <si>
    <t>10% detenidos</t>
  </si>
  <si>
    <t>Item</t>
  </si>
  <si>
    <t>Condicion</t>
  </si>
  <si>
    <t xml:space="preserve">Tiempo de simulacion </t>
  </si>
  <si>
    <t>6 mese 26 semanas</t>
  </si>
  <si>
    <t>Paso de simulacion</t>
  </si>
  <si>
    <t>0.5</t>
  </si>
  <si>
    <t>Numero incial de la banda</t>
  </si>
  <si>
    <t>Numero de detenidos</t>
  </si>
  <si>
    <t>Prisión</t>
  </si>
  <si>
    <t>Inventario Promedio por Produción</t>
  </si>
  <si>
    <t>Utilidad Promedio por producción</t>
  </si>
  <si>
    <t>Utilidad total por producción</t>
  </si>
  <si>
    <t>2</t>
  </si>
  <si>
    <t>Multilicacion</t>
  </si>
  <si>
    <t>Formula</t>
  </si>
  <si>
    <t>Suma</t>
  </si>
  <si>
    <t>Multplicacion pi</t>
  </si>
  <si>
    <t>1</t>
  </si>
  <si>
    <t>4</t>
  </si>
  <si>
    <t>semana</t>
  </si>
  <si>
    <t>deseados</t>
  </si>
  <si>
    <t>Tasa de reincorporados</t>
  </si>
  <si>
    <t>Activos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</si>
</sst>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6" formatCode="0.00000000"/>
    <numFmt numFmtId="167" formatCode="&quot;$&quot;#,##0"/>
  </numFmts>
  <fonts count="11" x14ac:knownFonts="1">
    <font>
      <sz val="11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1" xfId="0" applyFill="1" applyBorder="1"/>
    <xf numFmtId="0" fontId="1" fillId="2" borderId="3" xfId="0" applyFont="1" applyFill="1" applyBorder="1" applyAlignment="1" applyProtection="1">
      <alignment horizontal="center"/>
    </xf>
    <xf numFmtId="3" fontId="1" fillId="2" borderId="3" xfId="0" applyNumberFormat="1" applyFont="1" applyFill="1" applyBorder="1" applyAlignment="1" applyProtection="1">
      <alignment horizontal="center"/>
    </xf>
    <xf numFmtId="0" fontId="2" fillId="3" borderId="3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3" fontId="0" fillId="0" borderId="10" xfId="0" applyNumberFormat="1" applyFill="1" applyBorder="1" applyAlignment="1">
      <alignment horizontal="center"/>
    </xf>
    <xf numFmtId="3" fontId="0" fillId="0" borderId="9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167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16" fontId="7" fillId="0" borderId="0" xfId="0" applyNumberFormat="1" applyFont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5" fillId="5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5" fillId="5" borderId="0" xfId="0" applyFont="1" applyFill="1"/>
    <xf numFmtId="0" fontId="9" fillId="5" borderId="13" xfId="0" applyFont="1" applyFill="1" applyBorder="1" applyAlignment="1">
      <alignment horizontal="center"/>
    </xf>
    <xf numFmtId="0" fontId="9" fillId="5" borderId="14" xfId="0" applyFont="1" applyFill="1" applyBorder="1" applyAlignment="1">
      <alignment horizontal="center"/>
    </xf>
    <xf numFmtId="0" fontId="9" fillId="5" borderId="15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center"/>
    </xf>
    <xf numFmtId="0" fontId="1" fillId="5" borderId="20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166" fontId="5" fillId="5" borderId="0" xfId="0" applyNumberFormat="1" applyFont="1" applyFill="1" applyAlignment="1">
      <alignment horizontal="center"/>
    </xf>
    <xf numFmtId="0" fontId="8" fillId="5" borderId="13" xfId="0" applyFont="1" applyFill="1" applyBorder="1" applyAlignment="1">
      <alignment horizontal="center"/>
    </xf>
    <xf numFmtId="0" fontId="8" fillId="5" borderId="14" xfId="0" applyFont="1" applyFill="1" applyBorder="1" applyAlignment="1">
      <alignment horizontal="center"/>
    </xf>
    <xf numFmtId="0" fontId="8" fillId="5" borderId="15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2" xfId="0" applyFont="1" applyFill="1" applyBorder="1" applyAlignment="1">
      <alignment horizontal="center"/>
    </xf>
    <xf numFmtId="166" fontId="5" fillId="5" borderId="17" xfId="0" applyNumberFormat="1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166" fontId="5" fillId="5" borderId="2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</cellXfs>
  <cellStyles count="1">
    <cellStyle name="Normal" xfId="0" builtinId="0"/>
  </cellStyles>
  <dxfs count="71">
    <dxf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6" formatCode="0.00000000"/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numFmt numFmtId="167" formatCode="&quot;$&quot;#,##0"/>
      <alignment horizontal="center" vertical="bottom" textRotation="0" wrapText="0" indent="0" justifyLastLine="0" shrinkToFit="0" readingOrder="0"/>
    </dxf>
    <dxf>
      <numFmt numFmtId="167" formatCode="&quot;$&quot;#,##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67" formatCode="&quot;$&quot;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medium">
          <color indexed="64"/>
        </top>
        <bottom/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PUNTO2!$D$35</c:f>
              <c:strCache>
                <c:ptCount val="1"/>
                <c:pt idx="0">
                  <c:v>Bodega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PUNTO2!$D$36:$D$400</c:f>
              <c:numCache>
                <c:formatCode>General</c:formatCode>
                <c:ptCount val="365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5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7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3</c:v>
                </c:pt>
                <c:pt idx="33">
                  <c:v>0</c:v>
                </c:pt>
                <c:pt idx="34">
                  <c:v>1</c:v>
                </c:pt>
                <c:pt idx="35">
                  <c:v>3</c:v>
                </c:pt>
                <c:pt idx="36">
                  <c:v>5</c:v>
                </c:pt>
                <c:pt idx="37">
                  <c:v>5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6</c:v>
                </c:pt>
                <c:pt idx="42">
                  <c:v>8</c:v>
                </c:pt>
                <c:pt idx="43">
                  <c:v>9</c:v>
                </c:pt>
                <c:pt idx="44">
                  <c:v>12</c:v>
                </c:pt>
                <c:pt idx="45">
                  <c:v>11</c:v>
                </c:pt>
                <c:pt idx="46">
                  <c:v>12</c:v>
                </c:pt>
                <c:pt idx="47">
                  <c:v>14</c:v>
                </c:pt>
                <c:pt idx="48">
                  <c:v>13</c:v>
                </c:pt>
                <c:pt idx="49">
                  <c:v>13</c:v>
                </c:pt>
                <c:pt idx="50">
                  <c:v>11</c:v>
                </c:pt>
                <c:pt idx="51">
                  <c:v>10</c:v>
                </c:pt>
                <c:pt idx="52">
                  <c:v>11</c:v>
                </c:pt>
                <c:pt idx="53">
                  <c:v>12</c:v>
                </c:pt>
                <c:pt idx="54">
                  <c:v>11</c:v>
                </c:pt>
                <c:pt idx="55">
                  <c:v>9</c:v>
                </c:pt>
                <c:pt idx="56">
                  <c:v>11</c:v>
                </c:pt>
                <c:pt idx="57">
                  <c:v>10</c:v>
                </c:pt>
                <c:pt idx="58">
                  <c:v>11</c:v>
                </c:pt>
                <c:pt idx="59">
                  <c:v>10</c:v>
                </c:pt>
                <c:pt idx="60">
                  <c:v>12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7</c:v>
                </c:pt>
                <c:pt idx="68">
                  <c:v>8</c:v>
                </c:pt>
                <c:pt idx="69">
                  <c:v>11</c:v>
                </c:pt>
                <c:pt idx="70">
                  <c:v>13</c:v>
                </c:pt>
                <c:pt idx="71">
                  <c:v>12</c:v>
                </c:pt>
                <c:pt idx="72">
                  <c:v>10</c:v>
                </c:pt>
                <c:pt idx="73">
                  <c:v>13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13</c:v>
                </c:pt>
                <c:pt idx="78">
                  <c:v>13</c:v>
                </c:pt>
                <c:pt idx="79">
                  <c:v>12</c:v>
                </c:pt>
                <c:pt idx="80">
                  <c:v>13</c:v>
                </c:pt>
                <c:pt idx="81">
                  <c:v>16</c:v>
                </c:pt>
                <c:pt idx="82">
                  <c:v>15</c:v>
                </c:pt>
                <c:pt idx="83">
                  <c:v>13</c:v>
                </c:pt>
                <c:pt idx="84">
                  <c:v>13</c:v>
                </c:pt>
                <c:pt idx="85">
                  <c:v>11</c:v>
                </c:pt>
                <c:pt idx="86">
                  <c:v>13</c:v>
                </c:pt>
                <c:pt idx="87">
                  <c:v>15</c:v>
                </c:pt>
                <c:pt idx="88">
                  <c:v>18</c:v>
                </c:pt>
                <c:pt idx="89">
                  <c:v>19</c:v>
                </c:pt>
                <c:pt idx="90">
                  <c:v>18</c:v>
                </c:pt>
                <c:pt idx="91">
                  <c:v>17</c:v>
                </c:pt>
                <c:pt idx="92">
                  <c:v>17</c:v>
                </c:pt>
                <c:pt idx="93">
                  <c:v>16</c:v>
                </c:pt>
                <c:pt idx="94">
                  <c:v>16</c:v>
                </c:pt>
                <c:pt idx="95">
                  <c:v>18</c:v>
                </c:pt>
                <c:pt idx="96">
                  <c:v>17</c:v>
                </c:pt>
                <c:pt idx="97">
                  <c:v>18</c:v>
                </c:pt>
                <c:pt idx="98">
                  <c:v>19</c:v>
                </c:pt>
                <c:pt idx="99">
                  <c:v>19</c:v>
                </c:pt>
                <c:pt idx="100">
                  <c:v>18</c:v>
                </c:pt>
                <c:pt idx="101">
                  <c:v>18</c:v>
                </c:pt>
                <c:pt idx="102">
                  <c:v>17</c:v>
                </c:pt>
                <c:pt idx="103">
                  <c:v>19</c:v>
                </c:pt>
                <c:pt idx="104">
                  <c:v>17</c:v>
                </c:pt>
                <c:pt idx="105">
                  <c:v>16</c:v>
                </c:pt>
                <c:pt idx="106">
                  <c:v>17</c:v>
                </c:pt>
                <c:pt idx="107">
                  <c:v>15</c:v>
                </c:pt>
                <c:pt idx="108">
                  <c:v>16</c:v>
                </c:pt>
                <c:pt idx="109">
                  <c:v>15</c:v>
                </c:pt>
                <c:pt idx="110">
                  <c:v>13</c:v>
                </c:pt>
                <c:pt idx="111">
                  <c:v>12</c:v>
                </c:pt>
                <c:pt idx="112">
                  <c:v>12</c:v>
                </c:pt>
                <c:pt idx="113">
                  <c:v>14</c:v>
                </c:pt>
                <c:pt idx="114">
                  <c:v>15</c:v>
                </c:pt>
                <c:pt idx="115">
                  <c:v>15</c:v>
                </c:pt>
                <c:pt idx="116">
                  <c:v>13</c:v>
                </c:pt>
                <c:pt idx="117">
                  <c:v>13</c:v>
                </c:pt>
                <c:pt idx="118">
                  <c:v>13</c:v>
                </c:pt>
                <c:pt idx="119">
                  <c:v>14</c:v>
                </c:pt>
                <c:pt idx="120">
                  <c:v>17</c:v>
                </c:pt>
                <c:pt idx="121">
                  <c:v>18</c:v>
                </c:pt>
                <c:pt idx="122">
                  <c:v>17</c:v>
                </c:pt>
                <c:pt idx="123">
                  <c:v>15</c:v>
                </c:pt>
                <c:pt idx="124">
                  <c:v>16</c:v>
                </c:pt>
                <c:pt idx="125">
                  <c:v>16</c:v>
                </c:pt>
                <c:pt idx="126">
                  <c:v>16</c:v>
                </c:pt>
                <c:pt idx="127">
                  <c:v>18</c:v>
                </c:pt>
                <c:pt idx="128">
                  <c:v>18</c:v>
                </c:pt>
                <c:pt idx="129">
                  <c:v>19</c:v>
                </c:pt>
                <c:pt idx="130">
                  <c:v>18</c:v>
                </c:pt>
                <c:pt idx="131">
                  <c:v>21</c:v>
                </c:pt>
                <c:pt idx="132">
                  <c:v>22</c:v>
                </c:pt>
                <c:pt idx="133">
                  <c:v>25</c:v>
                </c:pt>
                <c:pt idx="134">
                  <c:v>27</c:v>
                </c:pt>
                <c:pt idx="135">
                  <c:v>24</c:v>
                </c:pt>
                <c:pt idx="136">
                  <c:v>26</c:v>
                </c:pt>
                <c:pt idx="137">
                  <c:v>27</c:v>
                </c:pt>
                <c:pt idx="138">
                  <c:v>25</c:v>
                </c:pt>
                <c:pt idx="139">
                  <c:v>24</c:v>
                </c:pt>
                <c:pt idx="140">
                  <c:v>27</c:v>
                </c:pt>
                <c:pt idx="141">
                  <c:v>28</c:v>
                </c:pt>
                <c:pt idx="142">
                  <c:v>27</c:v>
                </c:pt>
                <c:pt idx="143">
                  <c:v>26</c:v>
                </c:pt>
                <c:pt idx="144">
                  <c:v>24</c:v>
                </c:pt>
                <c:pt idx="145">
                  <c:v>26</c:v>
                </c:pt>
                <c:pt idx="146">
                  <c:v>25</c:v>
                </c:pt>
                <c:pt idx="147">
                  <c:v>25</c:v>
                </c:pt>
                <c:pt idx="148">
                  <c:v>23</c:v>
                </c:pt>
                <c:pt idx="149">
                  <c:v>24</c:v>
                </c:pt>
                <c:pt idx="150">
                  <c:v>25</c:v>
                </c:pt>
                <c:pt idx="151">
                  <c:v>27</c:v>
                </c:pt>
                <c:pt idx="152">
                  <c:v>25</c:v>
                </c:pt>
                <c:pt idx="153">
                  <c:v>23</c:v>
                </c:pt>
                <c:pt idx="154">
                  <c:v>21</c:v>
                </c:pt>
                <c:pt idx="155">
                  <c:v>20</c:v>
                </c:pt>
                <c:pt idx="156">
                  <c:v>23</c:v>
                </c:pt>
                <c:pt idx="157">
                  <c:v>24</c:v>
                </c:pt>
                <c:pt idx="158">
                  <c:v>26</c:v>
                </c:pt>
                <c:pt idx="159">
                  <c:v>27</c:v>
                </c:pt>
                <c:pt idx="160">
                  <c:v>29</c:v>
                </c:pt>
                <c:pt idx="161">
                  <c:v>27</c:v>
                </c:pt>
                <c:pt idx="162">
                  <c:v>28</c:v>
                </c:pt>
                <c:pt idx="163">
                  <c:v>29</c:v>
                </c:pt>
                <c:pt idx="164">
                  <c:v>28</c:v>
                </c:pt>
                <c:pt idx="165">
                  <c:v>26</c:v>
                </c:pt>
                <c:pt idx="166">
                  <c:v>27</c:v>
                </c:pt>
                <c:pt idx="167">
                  <c:v>25</c:v>
                </c:pt>
                <c:pt idx="168">
                  <c:v>23</c:v>
                </c:pt>
                <c:pt idx="169">
                  <c:v>21</c:v>
                </c:pt>
                <c:pt idx="170">
                  <c:v>19</c:v>
                </c:pt>
                <c:pt idx="171">
                  <c:v>17</c:v>
                </c:pt>
                <c:pt idx="172">
                  <c:v>19</c:v>
                </c:pt>
                <c:pt idx="173">
                  <c:v>19</c:v>
                </c:pt>
                <c:pt idx="174">
                  <c:v>21</c:v>
                </c:pt>
                <c:pt idx="175">
                  <c:v>22</c:v>
                </c:pt>
                <c:pt idx="176">
                  <c:v>24</c:v>
                </c:pt>
                <c:pt idx="177">
                  <c:v>27</c:v>
                </c:pt>
                <c:pt idx="178">
                  <c:v>26</c:v>
                </c:pt>
                <c:pt idx="179">
                  <c:v>26</c:v>
                </c:pt>
                <c:pt idx="180">
                  <c:v>26</c:v>
                </c:pt>
                <c:pt idx="181">
                  <c:v>28</c:v>
                </c:pt>
                <c:pt idx="182">
                  <c:v>26</c:v>
                </c:pt>
                <c:pt idx="183">
                  <c:v>26</c:v>
                </c:pt>
                <c:pt idx="184">
                  <c:v>25</c:v>
                </c:pt>
                <c:pt idx="185">
                  <c:v>25</c:v>
                </c:pt>
                <c:pt idx="186">
                  <c:v>23</c:v>
                </c:pt>
                <c:pt idx="187">
                  <c:v>22</c:v>
                </c:pt>
                <c:pt idx="188">
                  <c:v>21</c:v>
                </c:pt>
                <c:pt idx="189">
                  <c:v>21</c:v>
                </c:pt>
                <c:pt idx="190">
                  <c:v>23</c:v>
                </c:pt>
                <c:pt idx="191">
                  <c:v>24</c:v>
                </c:pt>
                <c:pt idx="192">
                  <c:v>22</c:v>
                </c:pt>
                <c:pt idx="193">
                  <c:v>19</c:v>
                </c:pt>
                <c:pt idx="194">
                  <c:v>17</c:v>
                </c:pt>
                <c:pt idx="195">
                  <c:v>17</c:v>
                </c:pt>
                <c:pt idx="196">
                  <c:v>18</c:v>
                </c:pt>
                <c:pt idx="197">
                  <c:v>19</c:v>
                </c:pt>
                <c:pt idx="198">
                  <c:v>20</c:v>
                </c:pt>
                <c:pt idx="199">
                  <c:v>23</c:v>
                </c:pt>
                <c:pt idx="200">
                  <c:v>22</c:v>
                </c:pt>
                <c:pt idx="201">
                  <c:v>25</c:v>
                </c:pt>
                <c:pt idx="202">
                  <c:v>25</c:v>
                </c:pt>
                <c:pt idx="203">
                  <c:v>25</c:v>
                </c:pt>
                <c:pt idx="204">
                  <c:v>27</c:v>
                </c:pt>
                <c:pt idx="205">
                  <c:v>26</c:v>
                </c:pt>
                <c:pt idx="206">
                  <c:v>25</c:v>
                </c:pt>
                <c:pt idx="207">
                  <c:v>27</c:v>
                </c:pt>
                <c:pt idx="208">
                  <c:v>28</c:v>
                </c:pt>
                <c:pt idx="209">
                  <c:v>30</c:v>
                </c:pt>
                <c:pt idx="210">
                  <c:v>31</c:v>
                </c:pt>
                <c:pt idx="211">
                  <c:v>30</c:v>
                </c:pt>
                <c:pt idx="212">
                  <c:v>32</c:v>
                </c:pt>
                <c:pt idx="213">
                  <c:v>32</c:v>
                </c:pt>
                <c:pt idx="214">
                  <c:v>32</c:v>
                </c:pt>
                <c:pt idx="215">
                  <c:v>29</c:v>
                </c:pt>
                <c:pt idx="216">
                  <c:v>28</c:v>
                </c:pt>
                <c:pt idx="217">
                  <c:v>26</c:v>
                </c:pt>
                <c:pt idx="218">
                  <c:v>26</c:v>
                </c:pt>
                <c:pt idx="219">
                  <c:v>27</c:v>
                </c:pt>
                <c:pt idx="220">
                  <c:v>29</c:v>
                </c:pt>
                <c:pt idx="221">
                  <c:v>27</c:v>
                </c:pt>
                <c:pt idx="222">
                  <c:v>28</c:v>
                </c:pt>
                <c:pt idx="223">
                  <c:v>29</c:v>
                </c:pt>
                <c:pt idx="224">
                  <c:v>30</c:v>
                </c:pt>
                <c:pt idx="225">
                  <c:v>33</c:v>
                </c:pt>
                <c:pt idx="226">
                  <c:v>34</c:v>
                </c:pt>
                <c:pt idx="227">
                  <c:v>32</c:v>
                </c:pt>
                <c:pt idx="228">
                  <c:v>31</c:v>
                </c:pt>
                <c:pt idx="229">
                  <c:v>30</c:v>
                </c:pt>
                <c:pt idx="230">
                  <c:v>29</c:v>
                </c:pt>
                <c:pt idx="231">
                  <c:v>27</c:v>
                </c:pt>
                <c:pt idx="232">
                  <c:v>26</c:v>
                </c:pt>
                <c:pt idx="233">
                  <c:v>23</c:v>
                </c:pt>
                <c:pt idx="234">
                  <c:v>23</c:v>
                </c:pt>
                <c:pt idx="235">
                  <c:v>22</c:v>
                </c:pt>
                <c:pt idx="236">
                  <c:v>20</c:v>
                </c:pt>
                <c:pt idx="237">
                  <c:v>20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24</c:v>
                </c:pt>
                <c:pt idx="243">
                  <c:v>23</c:v>
                </c:pt>
                <c:pt idx="244">
                  <c:v>24</c:v>
                </c:pt>
                <c:pt idx="245">
                  <c:v>27</c:v>
                </c:pt>
                <c:pt idx="246">
                  <c:v>26</c:v>
                </c:pt>
                <c:pt idx="247">
                  <c:v>27</c:v>
                </c:pt>
                <c:pt idx="248">
                  <c:v>28</c:v>
                </c:pt>
                <c:pt idx="249">
                  <c:v>27</c:v>
                </c:pt>
                <c:pt idx="250">
                  <c:v>27</c:v>
                </c:pt>
                <c:pt idx="251">
                  <c:v>27</c:v>
                </c:pt>
                <c:pt idx="252">
                  <c:v>27</c:v>
                </c:pt>
                <c:pt idx="253">
                  <c:v>27</c:v>
                </c:pt>
                <c:pt idx="254">
                  <c:v>29</c:v>
                </c:pt>
                <c:pt idx="255">
                  <c:v>31</c:v>
                </c:pt>
                <c:pt idx="256">
                  <c:v>29</c:v>
                </c:pt>
                <c:pt idx="257">
                  <c:v>31</c:v>
                </c:pt>
                <c:pt idx="258">
                  <c:v>32</c:v>
                </c:pt>
                <c:pt idx="259">
                  <c:v>34</c:v>
                </c:pt>
                <c:pt idx="260">
                  <c:v>36</c:v>
                </c:pt>
                <c:pt idx="261">
                  <c:v>37</c:v>
                </c:pt>
                <c:pt idx="262">
                  <c:v>38</c:v>
                </c:pt>
                <c:pt idx="263">
                  <c:v>38</c:v>
                </c:pt>
                <c:pt idx="264">
                  <c:v>39</c:v>
                </c:pt>
                <c:pt idx="265">
                  <c:v>41</c:v>
                </c:pt>
                <c:pt idx="266">
                  <c:v>42</c:v>
                </c:pt>
                <c:pt idx="267">
                  <c:v>42</c:v>
                </c:pt>
                <c:pt idx="268">
                  <c:v>42</c:v>
                </c:pt>
                <c:pt idx="269">
                  <c:v>42</c:v>
                </c:pt>
                <c:pt idx="270">
                  <c:v>44</c:v>
                </c:pt>
                <c:pt idx="271">
                  <c:v>43</c:v>
                </c:pt>
                <c:pt idx="272">
                  <c:v>43</c:v>
                </c:pt>
                <c:pt idx="273">
                  <c:v>44</c:v>
                </c:pt>
                <c:pt idx="274">
                  <c:v>44</c:v>
                </c:pt>
                <c:pt idx="275">
                  <c:v>43</c:v>
                </c:pt>
                <c:pt idx="276">
                  <c:v>41</c:v>
                </c:pt>
                <c:pt idx="277">
                  <c:v>41</c:v>
                </c:pt>
                <c:pt idx="278">
                  <c:v>38</c:v>
                </c:pt>
                <c:pt idx="279">
                  <c:v>38</c:v>
                </c:pt>
                <c:pt idx="280">
                  <c:v>40</c:v>
                </c:pt>
                <c:pt idx="281">
                  <c:v>38</c:v>
                </c:pt>
                <c:pt idx="282">
                  <c:v>37</c:v>
                </c:pt>
                <c:pt idx="283">
                  <c:v>38</c:v>
                </c:pt>
                <c:pt idx="284">
                  <c:v>38</c:v>
                </c:pt>
                <c:pt idx="285">
                  <c:v>38</c:v>
                </c:pt>
                <c:pt idx="286">
                  <c:v>37</c:v>
                </c:pt>
                <c:pt idx="287">
                  <c:v>37</c:v>
                </c:pt>
                <c:pt idx="288">
                  <c:v>37</c:v>
                </c:pt>
                <c:pt idx="289">
                  <c:v>36</c:v>
                </c:pt>
                <c:pt idx="290">
                  <c:v>38</c:v>
                </c:pt>
                <c:pt idx="291">
                  <c:v>39</c:v>
                </c:pt>
                <c:pt idx="292">
                  <c:v>39</c:v>
                </c:pt>
                <c:pt idx="293">
                  <c:v>36</c:v>
                </c:pt>
                <c:pt idx="294">
                  <c:v>38</c:v>
                </c:pt>
                <c:pt idx="295">
                  <c:v>39</c:v>
                </c:pt>
                <c:pt idx="296">
                  <c:v>39</c:v>
                </c:pt>
                <c:pt idx="297">
                  <c:v>38</c:v>
                </c:pt>
                <c:pt idx="298">
                  <c:v>37</c:v>
                </c:pt>
                <c:pt idx="299">
                  <c:v>35</c:v>
                </c:pt>
                <c:pt idx="300">
                  <c:v>37</c:v>
                </c:pt>
                <c:pt idx="301">
                  <c:v>37</c:v>
                </c:pt>
                <c:pt idx="302">
                  <c:v>37</c:v>
                </c:pt>
                <c:pt idx="303">
                  <c:v>39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39</c:v>
                </c:pt>
                <c:pt idx="308">
                  <c:v>38</c:v>
                </c:pt>
                <c:pt idx="309">
                  <c:v>37</c:v>
                </c:pt>
                <c:pt idx="310">
                  <c:v>38</c:v>
                </c:pt>
                <c:pt idx="311">
                  <c:v>38</c:v>
                </c:pt>
                <c:pt idx="312">
                  <c:v>36</c:v>
                </c:pt>
                <c:pt idx="313">
                  <c:v>38</c:v>
                </c:pt>
                <c:pt idx="314">
                  <c:v>38</c:v>
                </c:pt>
                <c:pt idx="315">
                  <c:v>37</c:v>
                </c:pt>
                <c:pt idx="316">
                  <c:v>38</c:v>
                </c:pt>
                <c:pt idx="317">
                  <c:v>39</c:v>
                </c:pt>
                <c:pt idx="318">
                  <c:v>39</c:v>
                </c:pt>
                <c:pt idx="319">
                  <c:v>40</c:v>
                </c:pt>
                <c:pt idx="320">
                  <c:v>41</c:v>
                </c:pt>
                <c:pt idx="321">
                  <c:v>40</c:v>
                </c:pt>
                <c:pt idx="322">
                  <c:v>41</c:v>
                </c:pt>
                <c:pt idx="323">
                  <c:v>41</c:v>
                </c:pt>
                <c:pt idx="324">
                  <c:v>41</c:v>
                </c:pt>
                <c:pt idx="325">
                  <c:v>42</c:v>
                </c:pt>
                <c:pt idx="326">
                  <c:v>42</c:v>
                </c:pt>
                <c:pt idx="327">
                  <c:v>41</c:v>
                </c:pt>
                <c:pt idx="328">
                  <c:v>41</c:v>
                </c:pt>
                <c:pt idx="329">
                  <c:v>42</c:v>
                </c:pt>
                <c:pt idx="330">
                  <c:v>42</c:v>
                </c:pt>
                <c:pt idx="331">
                  <c:v>44</c:v>
                </c:pt>
                <c:pt idx="332">
                  <c:v>47</c:v>
                </c:pt>
                <c:pt idx="333">
                  <c:v>46</c:v>
                </c:pt>
                <c:pt idx="334">
                  <c:v>45</c:v>
                </c:pt>
                <c:pt idx="335">
                  <c:v>45</c:v>
                </c:pt>
                <c:pt idx="336">
                  <c:v>47</c:v>
                </c:pt>
                <c:pt idx="337">
                  <c:v>49</c:v>
                </c:pt>
                <c:pt idx="338">
                  <c:v>51</c:v>
                </c:pt>
                <c:pt idx="339">
                  <c:v>53</c:v>
                </c:pt>
                <c:pt idx="340">
                  <c:v>52</c:v>
                </c:pt>
                <c:pt idx="341">
                  <c:v>54</c:v>
                </c:pt>
                <c:pt idx="342">
                  <c:v>56</c:v>
                </c:pt>
                <c:pt idx="343">
                  <c:v>57</c:v>
                </c:pt>
                <c:pt idx="344">
                  <c:v>56</c:v>
                </c:pt>
                <c:pt idx="345">
                  <c:v>56</c:v>
                </c:pt>
                <c:pt idx="346">
                  <c:v>58</c:v>
                </c:pt>
                <c:pt idx="347">
                  <c:v>60</c:v>
                </c:pt>
                <c:pt idx="348">
                  <c:v>60</c:v>
                </c:pt>
                <c:pt idx="349">
                  <c:v>57</c:v>
                </c:pt>
                <c:pt idx="350">
                  <c:v>55</c:v>
                </c:pt>
                <c:pt idx="351">
                  <c:v>56</c:v>
                </c:pt>
                <c:pt idx="352">
                  <c:v>54</c:v>
                </c:pt>
                <c:pt idx="353">
                  <c:v>54</c:v>
                </c:pt>
                <c:pt idx="354">
                  <c:v>54</c:v>
                </c:pt>
                <c:pt idx="355">
                  <c:v>55</c:v>
                </c:pt>
                <c:pt idx="356">
                  <c:v>58</c:v>
                </c:pt>
                <c:pt idx="357">
                  <c:v>57</c:v>
                </c:pt>
                <c:pt idx="358">
                  <c:v>57</c:v>
                </c:pt>
                <c:pt idx="359">
                  <c:v>57</c:v>
                </c:pt>
                <c:pt idx="360">
                  <c:v>56</c:v>
                </c:pt>
                <c:pt idx="361">
                  <c:v>58</c:v>
                </c:pt>
                <c:pt idx="362">
                  <c:v>57</c:v>
                </c:pt>
                <c:pt idx="363">
                  <c:v>59</c:v>
                </c:pt>
                <c:pt idx="364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2-494A-A730-C0B174ADD4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384114815"/>
        <c:axId val="455351407"/>
      </c:lineChart>
      <c:catAx>
        <c:axId val="3841148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55351407"/>
        <c:crosses val="autoZero"/>
        <c:auto val="1"/>
        <c:lblAlgn val="ctr"/>
        <c:lblOffset val="100"/>
        <c:noMultiLvlLbl val="0"/>
      </c:catAx>
      <c:valAx>
        <c:axId val="4553514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8411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UTILIDADES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PUNTO2!$C$9:$C$13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</c:numCache>
            </c:numRef>
          </c:cat>
          <c:val>
            <c:numRef>
              <c:f>PUNTO2!$E$9:$E$13</c:f>
              <c:numCache>
                <c:formatCode>"$"#,##0</c:formatCode>
                <c:ptCount val="5"/>
                <c:pt idx="0">
                  <c:v>35993.333333333336</c:v>
                </c:pt>
                <c:pt idx="1">
                  <c:v>33582.191780821915</c:v>
                </c:pt>
                <c:pt idx="2">
                  <c:v>35609.19540229885</c:v>
                </c:pt>
                <c:pt idx="3">
                  <c:v>33480.519480519477</c:v>
                </c:pt>
                <c:pt idx="4">
                  <c:v>34292.452830188682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D540-0640-B1F3-CFD34F2E77A3}"/>
            </c:ext>
          </c:extLst>
        </c:ser>
        <c:ser>
          <c:idx val="2"/>
          <c:order val="1"/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PUNTO2!$C$9:$C$13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</c:numCache>
            </c:numRef>
          </c:cat>
          <c:val>
            <c:numRef>
              <c:f>PUNTO2!$F$9:$F$13</c:f>
              <c:numCache>
                <c:formatCode>"$"#,##0</c:formatCode>
                <c:ptCount val="5"/>
                <c:pt idx="0">
                  <c:v>2699500</c:v>
                </c:pt>
                <c:pt idx="1">
                  <c:v>2451500</c:v>
                </c:pt>
                <c:pt idx="2">
                  <c:v>3098000</c:v>
                </c:pt>
                <c:pt idx="3">
                  <c:v>2578000</c:v>
                </c:pt>
                <c:pt idx="4">
                  <c:v>1817500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D540-0640-B1F3-CFD34F2E77A3}"/>
            </c:ext>
          </c:extLst>
        </c:ser>
        <c:ser>
          <c:idx val="0"/>
          <c:order val="2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D540-0640-B1F3-CFD34F2E7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231162624"/>
        <c:axId val="1242031088"/>
      </c:barChart>
      <c:catAx>
        <c:axId val="12311626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42031088"/>
        <c:crosses val="autoZero"/>
        <c:auto val="1"/>
        <c:lblAlgn val="ctr"/>
        <c:lblOffset val="100"/>
        <c:noMultiLvlLbl val="0"/>
      </c:catAx>
      <c:valAx>
        <c:axId val="12420310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3116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Bandidos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'SIMULACION CONTINUA'!$B$14</c:f>
              <c:strCache>
                <c:ptCount val="1"/>
                <c:pt idx="0">
                  <c:v>deseados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'SIMULACION CONTINUA'!$A$15:$A$66</c:f>
              <c:numCache>
                <c:formatCode>General</c:formatCode>
                <c:ptCount val="5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</c:numCache>
            </c:numRef>
          </c:cat>
          <c:val>
            <c:numRef>
              <c:f>'SIMULACION CONTINUA'!$B$15:$B$66</c:f>
              <c:numCache>
                <c:formatCode>General</c:formatCode>
                <c:ptCount val="52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1A-DE4D-B0E9-A5336A0C22E4}"/>
            </c:ext>
          </c:extLst>
        </c:ser>
        <c:ser>
          <c:idx val="1"/>
          <c:order val="1"/>
          <c:tx>
            <c:strRef>
              <c:f>'SIMULACION CONTINUA'!$C$14</c:f>
              <c:strCache>
                <c:ptCount val="1"/>
                <c:pt idx="0">
                  <c:v>Tasa de reclutamiento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cat>
            <c:numRef>
              <c:f>'SIMULACION CONTINUA'!$A$15:$A$66</c:f>
              <c:numCache>
                <c:formatCode>General</c:formatCode>
                <c:ptCount val="5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</c:numCache>
            </c:numRef>
          </c:cat>
          <c:val>
            <c:numRef>
              <c:f>'SIMULACION CONTINUA'!$C$15:$C$66</c:f>
              <c:numCache>
                <c:formatCode>0.00</c:formatCode>
                <c:ptCount val="52"/>
                <c:pt idx="0">
                  <c:v>12.5</c:v>
                </c:pt>
                <c:pt idx="1">
                  <c:v>10.9375</c:v>
                </c:pt>
                <c:pt idx="2">
                  <c:v>9.6084222560975618</c:v>
                </c:pt>
                <c:pt idx="3">
                  <c:v>8.4769662542757285</c:v>
                </c:pt>
                <c:pt idx="4">
                  <c:v>7.5128412580872705</c:v>
                </c:pt>
                <c:pt idx="5">
                  <c:v>6.6904179647295035</c:v>
                </c:pt>
                <c:pt idx="6">
                  <c:v>5.9880107886379115</c:v>
                </c:pt>
                <c:pt idx="7">
                  <c:v>5.3872706584990375</c:v>
                </c:pt>
                <c:pt idx="8">
                  <c:v>4.8726713107664974</c:v>
                </c:pt>
                <c:pt idx="9">
                  <c:v>4.4310746830408352</c:v>
                </c:pt>
                <c:pt idx="10">
                  <c:v>4.0513632274785749</c:v>
                </c:pt>
                <c:pt idx="11">
                  <c:v>3.7241288398553642</c:v>
                </c:pt>
                <c:pt idx="12">
                  <c:v>3.4414096865828974</c:v>
                </c:pt>
                <c:pt idx="13">
                  <c:v>3.1964675543368806</c:v>
                </c:pt>
                <c:pt idx="14">
                  <c:v>2.9835994826135472</c:v>
                </c:pt>
                <c:pt idx="15">
                  <c:v>2.7979784003228154</c:v>
                </c:pt>
                <c:pt idx="16">
                  <c:v>2.6355183003734179</c:v>
                </c:pt>
                <c:pt idx="17">
                  <c:v>2.4927601738898524</c:v>
                </c:pt>
                <c:pt idx="18">
                  <c:v>2.3667755074952819</c:v>
                </c:pt>
                <c:pt idx="19">
                  <c:v>2.255084639303762</c:v>
                </c:pt>
                <c:pt idx="20">
                  <c:v>2.1555876856836491</c:v>
                </c:pt>
                <c:pt idx="21">
                  <c:v>2.0665061031520793</c:v>
                </c:pt>
                <c:pt idx="22">
                  <c:v>1.9863332478114124</c:v>
                </c:pt>
                <c:pt idx="23">
                  <c:v>1.9137925468953352</c:v>
                </c:pt>
                <c:pt idx="24">
                  <c:v>1.8478021103219557</c:v>
                </c:pt>
                <c:pt idx="25">
                  <c:v>1.7874447906320796</c:v>
                </c:pt>
                <c:pt idx="26">
                  <c:v>1.7319428523812395</c:v>
                </c:pt>
                <c:pt idx="27">
                  <c:v>1.6806365412330777</c:v>
                </c:pt>
                <c:pt idx="28">
                  <c:v>1.6329659522895099</c:v>
                </c:pt>
                <c:pt idx="29">
                  <c:v>1.5884556896529087</c:v>
                </c:pt>
                <c:pt idx="30">
                  <c:v>1.5467018874382639</c:v>
                </c:pt>
                <c:pt idx="31">
                  <c:v>1.5073612286313622</c:v>
                </c:pt>
                <c:pt idx="32">
                  <c:v>1.4701416541772705</c:v>
                </c:pt>
                <c:pt idx="33">
                  <c:v>1.4347945020510711</c:v>
                </c:pt>
                <c:pt idx="34">
                  <c:v>1.4011078561380028</c:v>
                </c:pt>
                <c:pt idx="35">
                  <c:v>1.3689009186569177</c:v>
                </c:pt>
                <c:pt idx="36">
                  <c:v>1.3380192485512303</c:v>
                </c:pt>
                <c:pt idx="37">
                  <c:v>1.3083307325527205</c:v>
                </c:pt>
                <c:pt idx="38">
                  <c:v>1.2797221761812452</c:v>
                </c:pt>
                <c:pt idx="39">
                  <c:v>1.2520964193633031</c:v>
                </c:pt>
                <c:pt idx="40">
                  <c:v>1.2253698961377477</c:v>
                </c:pt>
                <c:pt idx="41">
                  <c:v>1.1994705705070281</c:v>
                </c:pt>
                <c:pt idx="42">
                  <c:v>1.1743361912796022</c:v>
                </c:pt>
                <c:pt idx="43">
                  <c:v>1.1499128180977358</c:v>
                </c:pt>
                <c:pt idx="44">
                  <c:v>1.1261535791124526</c:v>
                </c:pt>
                <c:pt idx="45">
                  <c:v>1.1030176283300168</c:v>
                </c:pt>
                <c:pt idx="46">
                  <c:v>1.0804692779404341</c:v>
                </c:pt>
                <c:pt idx="47">
                  <c:v>1.0584772884711136</c:v>
                </c:pt>
                <c:pt idx="48">
                  <c:v>1.0370143080631458</c:v>
                </c:pt>
                <c:pt idx="49">
                  <c:v>1.0160564624481463</c:v>
                </c:pt>
                <c:pt idx="50">
                  <c:v>0.99558311054742177</c:v>
                </c:pt>
                <c:pt idx="51">
                  <c:v>0.97557679873065162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1A-DE4D-B0E9-A5336A0C22E4}"/>
            </c:ext>
          </c:extLst>
        </c:ser>
        <c:ser>
          <c:idx val="2"/>
          <c:order val="2"/>
          <c:tx>
            <c:strRef>
              <c:f>'SIMULACION CONTINUA'!$D$14</c:f>
              <c:strCache>
                <c:ptCount val="1"/>
                <c:pt idx="0">
                  <c:v>Tasa de captura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cat>
            <c:numRef>
              <c:f>'SIMULACION CONTINUA'!$A$15:$A$66</c:f>
              <c:numCache>
                <c:formatCode>General</c:formatCode>
                <c:ptCount val="5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</c:numCache>
            </c:numRef>
          </c:cat>
          <c:val>
            <c:numRef>
              <c:f>'SIMULACION CONTINUA'!$D$15:$D$66</c:f>
              <c:numCache>
                <c:formatCode>General</c:formatCode>
                <c:ptCount val="52"/>
                <c:pt idx="0">
                  <c:v>0</c:v>
                </c:pt>
                <c:pt idx="1">
                  <c:v>0.3125</c:v>
                </c:pt>
                <c:pt idx="2">
                  <c:v>0.57831554878048785</c:v>
                </c:pt>
                <c:pt idx="3">
                  <c:v>0.80460674914485431</c:v>
                </c:pt>
                <c:pt idx="4">
                  <c:v>0.99743174838254589</c:v>
                </c:pt>
                <c:pt idx="5">
                  <c:v>1.1619164070540993</c:v>
                </c:pt>
                <c:pt idx="6">
                  <c:v>1.3023978422724178</c:v>
                </c:pt>
                <c:pt idx="7">
                  <c:v>1.4225458683001926</c:v>
                </c:pt>
                <c:pt idx="8">
                  <c:v>1.5254657378467007</c:v>
                </c:pt>
                <c:pt idx="9">
                  <c:v>1.6137850633918331</c:v>
                </c:pt>
                <c:pt idx="10">
                  <c:v>1.689727354504285</c:v>
                </c:pt>
                <c:pt idx="11">
                  <c:v>1.7551742320289272</c:v>
                </c:pt>
                <c:pt idx="12">
                  <c:v>1.8117180626834206</c:v>
                </c:pt>
                <c:pt idx="13">
                  <c:v>1.8607064891326239</c:v>
                </c:pt>
                <c:pt idx="14">
                  <c:v>1.9032801034772906</c:v>
                </c:pt>
                <c:pt idx="15">
                  <c:v>1.940404319935437</c:v>
                </c:pt>
                <c:pt idx="16">
                  <c:v>1.9728963399253165</c:v>
                </c:pt>
                <c:pt idx="17">
                  <c:v>2.0014479652220296</c:v>
                </c:pt>
                <c:pt idx="18">
                  <c:v>2.0266448985009435</c:v>
                </c:pt>
                <c:pt idx="19">
                  <c:v>2.0489830721392477</c:v>
                </c:pt>
                <c:pt idx="20">
                  <c:v>2.0688824628632703</c:v>
                </c:pt>
                <c:pt idx="21">
                  <c:v>2.0866987793695841</c:v>
                </c:pt>
                <c:pt idx="22">
                  <c:v>2.1027333504377177</c:v>
                </c:pt>
                <c:pt idx="23">
                  <c:v>2.1172414906209331</c:v>
                </c:pt>
                <c:pt idx="24">
                  <c:v>2.1304395779356091</c:v>
                </c:pt>
                <c:pt idx="25">
                  <c:v>2.142511041873584</c:v>
                </c:pt>
                <c:pt idx="26">
                  <c:v>2.1536114295237523</c:v>
                </c:pt>
                <c:pt idx="27">
                  <c:v>2.1638726917533844</c:v>
                </c:pt>
                <c:pt idx="28">
                  <c:v>2.1734068095420982</c:v>
                </c:pt>
                <c:pt idx="29">
                  <c:v>2.1823088620694184</c:v>
                </c:pt>
                <c:pt idx="30">
                  <c:v>2.1906596225123471</c:v>
                </c:pt>
                <c:pt idx="31">
                  <c:v>2.1985277542737278</c:v>
                </c:pt>
                <c:pt idx="32">
                  <c:v>2.2059716691645459</c:v>
                </c:pt>
                <c:pt idx="33">
                  <c:v>2.2130410995897858</c:v>
                </c:pt>
                <c:pt idx="34">
                  <c:v>2.2197784287723996</c:v>
                </c:pt>
                <c:pt idx="35">
                  <c:v>2.2262198162686166</c:v>
                </c:pt>
                <c:pt idx="36">
                  <c:v>2.232396150289754</c:v>
                </c:pt>
                <c:pt idx="37">
                  <c:v>2.2383338534894559</c:v>
                </c:pt>
                <c:pt idx="38">
                  <c:v>2.2440555647637512</c:v>
                </c:pt>
                <c:pt idx="39">
                  <c:v>2.2495807161273396</c:v>
                </c:pt>
                <c:pt idx="40">
                  <c:v>2.2549260207724506</c:v>
                </c:pt>
                <c:pt idx="41">
                  <c:v>2.2601058858985943</c:v>
                </c:pt>
                <c:pt idx="42">
                  <c:v>2.2651327617440797</c:v>
                </c:pt>
                <c:pt idx="43">
                  <c:v>2.2700174363804528</c:v>
                </c:pt>
                <c:pt idx="44">
                  <c:v>2.2747692841775096</c:v>
                </c:pt>
                <c:pt idx="45">
                  <c:v>2.2793964743339967</c:v>
                </c:pt>
                <c:pt idx="46">
                  <c:v>2.2839061444119131</c:v>
                </c:pt>
                <c:pt idx="47">
                  <c:v>2.2883045423057773</c:v>
                </c:pt>
                <c:pt idx="48">
                  <c:v>2.2925971383873711</c:v>
                </c:pt>
                <c:pt idx="49">
                  <c:v>2.296788707510371</c:v>
                </c:pt>
                <c:pt idx="50">
                  <c:v>2.3008833778905156</c:v>
                </c:pt>
                <c:pt idx="51">
                  <c:v>2.3048846402538699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1A-DE4D-B0E9-A5336A0C22E4}"/>
            </c:ext>
          </c:extLst>
        </c:ser>
        <c:ser>
          <c:idx val="3"/>
          <c:order val="3"/>
          <c:tx>
            <c:strRef>
              <c:f>'SIMULACION CONTINUA'!$E$14</c:f>
              <c:strCache>
                <c:ptCount val="1"/>
                <c:pt idx="0">
                  <c:v>Tasa de reincorporados</c:v>
                </c:pt>
              </c:strCache>
            </c:strRef>
          </c:tx>
          <c:spPr>
            <a:ln w="38100" cap="flat" cmpd="dbl" algn="ctr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cat>
            <c:numRef>
              <c:f>'SIMULACION CONTINUA'!$A$15:$A$66</c:f>
              <c:numCache>
                <c:formatCode>General</c:formatCode>
                <c:ptCount val="5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</c:numCache>
            </c:numRef>
          </c:cat>
          <c:val>
            <c:numRef>
              <c:f>'SIMULACION CONTINUA'!$E$15:$E$66</c:f>
              <c:numCache>
                <c:formatCode>General</c:formatCode>
                <c:ptCount val="52"/>
                <c:pt idx="0">
                  <c:v>0</c:v>
                </c:pt>
                <c:pt idx="1">
                  <c:v>7.621951219512195E-3</c:v>
                </c:pt>
                <c:pt idx="2">
                  <c:v>2.1541307257584776E-2</c:v>
                </c:pt>
                <c:pt idx="3">
                  <c:v>4.0640464376786478E-2</c:v>
                </c:pt>
                <c:pt idx="4">
                  <c:v>6.3976837157414757E-2</c:v>
                </c:pt>
                <c:pt idx="5">
                  <c:v>9.07558510573339E-2</c:v>
                </c:pt>
                <c:pt idx="6">
                  <c:v>0.12030809474550669</c:v>
                </c:pt>
                <c:pt idx="7">
                  <c:v>0.15206999166147461</c:v>
                </c:pt>
                <c:pt idx="8">
                  <c:v>0.18556744888550453</c:v>
                </c:pt>
                <c:pt idx="9">
                  <c:v>0.22040202484907351</c:v>
                </c:pt>
                <c:pt idx="10">
                  <c:v>0.25623922801139576</c:v>
                </c:pt>
                <c:pt idx="11">
                  <c:v>0.2927986183532868</c:v>
                </c:pt>
                <c:pt idx="12">
                  <c:v>0.32984543406865591</c:v>
                </c:pt>
                <c:pt idx="13">
                  <c:v>0.36718350858241128</c:v>
                </c:pt>
                <c:pt idx="14">
                  <c:v>0.40464927918960347</c:v>
                </c:pt>
                <c:pt idx="15">
                  <c:v>0.44210671920779454</c:v>
                </c:pt>
                <c:pt idx="16">
                  <c:v>0.47944305142041704</c:v>
                </c:pt>
                <c:pt idx="17">
                  <c:v>0.51656512248874908</c:v>
                </c:pt>
                <c:pt idx="18">
                  <c:v>0.55339633653782705</c:v>
                </c:pt>
                <c:pt idx="19">
                  <c:v>0.58987406179639823</c:v>
                </c:pt>
                <c:pt idx="20">
                  <c:v>0.62594743743217574</c:v>
                </c:pt>
                <c:pt idx="21">
                  <c:v>0.66157551894284428</c:v>
                </c:pt>
                <c:pt idx="22">
                  <c:v>0.69672570995491423</c:v>
                </c:pt>
                <c:pt idx="23">
                  <c:v>0.73137243631262205</c:v>
                </c:pt>
                <c:pt idx="24">
                  <c:v>0.7654960251326951</c:v>
                </c:pt>
                <c:pt idx="25">
                  <c:v>0.79908175724832731</c:v>
                </c:pt>
                <c:pt idx="26">
                  <c:v>0.83211906632821864</c:v>
                </c:pt>
                <c:pt idx="27">
                  <c:v>0.86460086207030562</c:v>
                </c:pt>
                <c:pt idx="28">
                  <c:v>0.89652295835013618</c:v>
                </c:pt>
                <c:pt idx="29">
                  <c:v>0.92788359014825983</c:v>
                </c:pt>
                <c:pt idx="30">
                  <c:v>0.95868300557203934</c:v>
                </c:pt>
                <c:pt idx="31">
                  <c:v>0.98892312139476035</c:v>
                </c:pt>
                <c:pt idx="32">
                  <c:v>1.0186072323178978</c:v>
                </c:pt>
                <c:pt idx="33">
                  <c:v>1.0477397656708785</c:v>
                </c:pt>
                <c:pt idx="34">
                  <c:v>1.0763260745389907</c:v>
                </c:pt>
                <c:pt idx="35">
                  <c:v>1.1043722633900612</c:v>
                </c:pt>
                <c:pt idx="36">
                  <c:v>1.1318850411845716</c:v>
                </c:pt>
                <c:pt idx="37">
                  <c:v>1.1588715977278472</c:v>
                </c:pt>
                <c:pt idx="38">
                  <c:v>1.1853394996789306</c:v>
                </c:pt>
                <c:pt idx="39">
                  <c:v>1.211296603187761</c:v>
                </c:pt>
                <c:pt idx="40">
                  <c:v>1.2367509806069883</c:v>
                </c:pt>
                <c:pt idx="41">
                  <c:v>1.2617108591321147</c:v>
                </c:pt>
                <c:pt idx="42">
                  <c:v>1.2861845695777028</c:v>
                </c:pt>
                <c:pt idx="43">
                  <c:v>1.310180503811976</c:v>
                </c:pt>
                <c:pt idx="44">
                  <c:v>1.3337070796621437</c:v>
                </c:pt>
                <c:pt idx="45">
                  <c:v>1.3567727123852262</c:v>
                </c:pt>
                <c:pt idx="46">
                  <c:v>1.3793857920951662</c:v>
                </c:pt>
                <c:pt idx="47">
                  <c:v>1.4015546668739427</c:v>
                </c:pt>
                <c:pt idx="48">
                  <c:v>1.4232876317091354</c:v>
                </c:pt>
                <c:pt idx="49">
                  <c:v>1.4445929239433748</c:v>
                </c:pt>
                <c:pt idx="50">
                  <c:v>1.4654787266621443</c:v>
                </c:pt>
                <c:pt idx="51">
                  <c:v>1.4859531824819792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1A-DE4D-B0E9-A5336A0C22E4}"/>
            </c:ext>
          </c:extLst>
        </c:ser>
        <c:ser>
          <c:idx val="4"/>
          <c:order val="4"/>
          <c:tx>
            <c:strRef>
              <c:f>'SIMULACION CONTINUA'!$F$14</c:f>
              <c:strCache>
                <c:ptCount val="1"/>
                <c:pt idx="0">
                  <c:v>Activos</c:v>
                </c:pt>
              </c:strCache>
            </c:strRef>
          </c:tx>
          <c:spPr>
            <a:ln w="38100" cap="flat" cmpd="dbl" algn="ctr">
              <a:solidFill>
                <a:schemeClr val="accent5"/>
              </a:solidFill>
              <a:miter lim="800000"/>
            </a:ln>
            <a:effectLst/>
          </c:spPr>
          <c:marker>
            <c:symbol val="none"/>
          </c:marker>
          <c:cat>
            <c:numRef>
              <c:f>'SIMULACION CONTINUA'!$A$15:$A$66</c:f>
              <c:numCache>
                <c:formatCode>General</c:formatCode>
                <c:ptCount val="5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</c:numCache>
            </c:numRef>
          </c:cat>
          <c:val>
            <c:numRef>
              <c:f>'SIMULACION CONTINUA'!$F$15:$F$66</c:f>
              <c:numCache>
                <c:formatCode>General</c:formatCode>
                <c:ptCount val="52"/>
                <c:pt idx="0">
                  <c:v>0</c:v>
                </c:pt>
                <c:pt idx="1">
                  <c:v>6.25</c:v>
                </c:pt>
                <c:pt idx="2">
                  <c:v>11.566310975609756</c:v>
                </c:pt>
                <c:pt idx="3">
                  <c:v>16.092134982897086</c:v>
                </c:pt>
                <c:pt idx="4">
                  <c:v>19.948634967650918</c:v>
                </c:pt>
                <c:pt idx="5">
                  <c:v>23.238328141081986</c:v>
                </c:pt>
                <c:pt idx="6">
                  <c:v>26.047956845448354</c:v>
                </c:pt>
                <c:pt idx="7">
                  <c:v>28.45091736600385</c:v>
                </c:pt>
                <c:pt idx="8">
                  <c:v>30.50931475693401</c:v>
                </c:pt>
                <c:pt idx="9">
                  <c:v>32.275701267836659</c:v>
                </c:pt>
                <c:pt idx="10">
                  <c:v>33.7945470900857</c:v>
                </c:pt>
                <c:pt idx="11">
                  <c:v>35.103484640578543</c:v>
                </c:pt>
                <c:pt idx="12">
                  <c:v>36.234361253668411</c:v>
                </c:pt>
                <c:pt idx="13">
                  <c:v>37.214129782652478</c:v>
                </c:pt>
                <c:pt idx="14">
                  <c:v>38.065602069545811</c:v>
                </c:pt>
                <c:pt idx="15">
                  <c:v>38.808086398708738</c:v>
                </c:pt>
                <c:pt idx="16">
                  <c:v>39.457926798506328</c:v>
                </c:pt>
                <c:pt idx="17">
                  <c:v>40.02895930444059</c:v>
                </c:pt>
                <c:pt idx="18">
                  <c:v>40.532897970018873</c:v>
                </c:pt>
                <c:pt idx="19">
                  <c:v>40.979661442784952</c:v>
                </c:pt>
                <c:pt idx="20">
                  <c:v>41.377649257265404</c:v>
                </c:pt>
                <c:pt idx="21">
                  <c:v>41.733975587391683</c:v>
                </c:pt>
                <c:pt idx="22">
                  <c:v>42.05466700875435</c:v>
                </c:pt>
                <c:pt idx="23">
                  <c:v>42.344829812418659</c:v>
                </c:pt>
                <c:pt idx="24">
                  <c:v>42.608791558712177</c:v>
                </c:pt>
                <c:pt idx="25">
                  <c:v>42.850220837471696</c:v>
                </c:pt>
                <c:pt idx="26">
                  <c:v>43.072228590475106</c:v>
                </c:pt>
                <c:pt idx="27">
                  <c:v>43.277453835067959</c:v>
                </c:pt>
                <c:pt idx="28">
                  <c:v>43.468136190842955</c:v>
                </c:pt>
                <c:pt idx="29">
                  <c:v>43.646177241391726</c:v>
                </c:pt>
                <c:pt idx="30">
                  <c:v>43.813192450257596</c:v>
                </c:pt>
                <c:pt idx="31">
                  <c:v>43.970555085506575</c:v>
                </c:pt>
                <c:pt idx="32">
                  <c:v>44.119433383382777</c:v>
                </c:pt>
                <c:pt idx="33">
                  <c:v>44.260821992048093</c:v>
                </c:pt>
                <c:pt idx="34">
                  <c:v>44.395568576114179</c:v>
                </c:pt>
                <c:pt idx="35">
                  <c:v>44.524396327066476</c:v>
                </c:pt>
                <c:pt idx="36">
                  <c:v>44.647923009955662</c:v>
                </c:pt>
                <c:pt idx="37">
                  <c:v>44.766677079678686</c:v>
                </c:pt>
                <c:pt idx="38">
                  <c:v>44.881111318074247</c:v>
                </c:pt>
                <c:pt idx="39">
                  <c:v>44.991614373622461</c:v>
                </c:pt>
                <c:pt idx="40">
                  <c:v>45.098520526834321</c:v>
                </c:pt>
                <c:pt idx="41">
                  <c:v>45.202117954820466</c:v>
                </c:pt>
                <c:pt idx="42">
                  <c:v>45.302655726690737</c:v>
                </c:pt>
                <c:pt idx="43">
                  <c:v>45.400349726247349</c:v>
                </c:pt>
                <c:pt idx="44">
                  <c:v>45.495387669011976</c:v>
                </c:pt>
                <c:pt idx="45">
                  <c:v>45.587933356310522</c:v>
                </c:pt>
                <c:pt idx="46">
                  <c:v>45.678130289501148</c:v>
                </c:pt>
                <c:pt idx="47">
                  <c:v>45.766104752312991</c:v>
                </c:pt>
                <c:pt idx="48">
                  <c:v>45.85196845883263</c:v>
                </c:pt>
                <c:pt idx="49">
                  <c:v>45.935820859525087</c:v>
                </c:pt>
                <c:pt idx="50">
                  <c:v>46.017751198965662</c:v>
                </c:pt>
                <c:pt idx="51">
                  <c:v>46.09784042862519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1A-DE4D-B0E9-A5336A0C22E4}"/>
            </c:ext>
          </c:extLst>
        </c:ser>
        <c:ser>
          <c:idx val="5"/>
          <c:order val="5"/>
          <c:tx>
            <c:strRef>
              <c:f>'SIMULACION CONTINUA'!$G$14</c:f>
              <c:strCache>
                <c:ptCount val="1"/>
                <c:pt idx="0">
                  <c:v>Prisión</c:v>
                </c:pt>
              </c:strCache>
            </c:strRef>
          </c:tx>
          <c:spPr>
            <a:ln w="38100" cap="flat" cmpd="dbl" algn="ctr">
              <a:solidFill>
                <a:schemeClr val="accent6"/>
              </a:solidFill>
              <a:miter lim="800000"/>
            </a:ln>
            <a:effectLst/>
          </c:spPr>
          <c:marker>
            <c:symbol val="none"/>
          </c:marker>
          <c:cat>
            <c:numRef>
              <c:f>'SIMULACION CONTINUA'!$A$15:$A$66</c:f>
              <c:numCache>
                <c:formatCode>General</c:formatCode>
                <c:ptCount val="52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</c:numCache>
            </c:numRef>
          </c:cat>
          <c:val>
            <c:numRef>
              <c:f>'SIMULACION CONTINUA'!$G$15:$G$66</c:f>
              <c:numCache>
                <c:formatCode>General</c:formatCode>
                <c:ptCount val="52"/>
                <c:pt idx="0">
                  <c:v>0</c:v>
                </c:pt>
                <c:pt idx="1">
                  <c:v>0.1524390243902439</c:v>
                </c:pt>
                <c:pt idx="2">
                  <c:v>0.43082614515169548</c:v>
                </c:pt>
                <c:pt idx="3">
                  <c:v>0.81280928753572934</c:v>
                </c:pt>
                <c:pt idx="4">
                  <c:v>1.2795367431482949</c:v>
                </c:pt>
                <c:pt idx="5">
                  <c:v>1.8151170211466774</c:v>
                </c:pt>
                <c:pt idx="6">
                  <c:v>2.4061618949101327</c:v>
                </c:pt>
                <c:pt idx="7">
                  <c:v>3.0413998332294914</c:v>
                </c:pt>
                <c:pt idx="8">
                  <c:v>3.7113489777100894</c:v>
                </c:pt>
                <c:pt idx="9">
                  <c:v>4.408040496981469</c:v>
                </c:pt>
                <c:pt idx="10">
                  <c:v>5.1247845602279138</c:v>
                </c:pt>
                <c:pt idx="11">
                  <c:v>5.8559723670657347</c:v>
                </c:pt>
                <c:pt idx="12">
                  <c:v>6.596908681373117</c:v>
                </c:pt>
                <c:pt idx="13">
                  <c:v>7.343670171648224</c:v>
                </c:pt>
                <c:pt idx="14">
                  <c:v>8.0929855837920677</c:v>
                </c:pt>
                <c:pt idx="15">
                  <c:v>8.8421343841558873</c:v>
                </c:pt>
                <c:pt idx="16">
                  <c:v>9.5888610284083367</c:v>
                </c:pt>
                <c:pt idx="17">
                  <c:v>10.331302449774977</c:v>
                </c:pt>
                <c:pt idx="18">
                  <c:v>11.067926730756536</c:v>
                </c:pt>
                <c:pt idx="19">
                  <c:v>11.797481235927961</c:v>
                </c:pt>
                <c:pt idx="20">
                  <c:v>12.51894874864351</c:v>
                </c:pt>
                <c:pt idx="21">
                  <c:v>13.23151037885688</c:v>
                </c:pt>
                <c:pt idx="22">
                  <c:v>13.934514199098281</c:v>
                </c:pt>
                <c:pt idx="23">
                  <c:v>14.627448726252437</c:v>
                </c:pt>
                <c:pt idx="24">
                  <c:v>15.309920502653894</c:v>
                </c:pt>
                <c:pt idx="25">
                  <c:v>15.981635144966523</c:v>
                </c:pt>
                <c:pt idx="26">
                  <c:v>16.642381326564291</c:v>
                </c:pt>
                <c:pt idx="27">
                  <c:v>17.29201724140583</c:v>
                </c:pt>
                <c:pt idx="28">
                  <c:v>17.930459167001814</c:v>
                </c:pt>
                <c:pt idx="29">
                  <c:v>18.557671802962393</c:v>
                </c:pt>
                <c:pt idx="30">
                  <c:v>19.173660111432547</c:v>
                </c:pt>
                <c:pt idx="31">
                  <c:v>19.778462427872029</c:v>
                </c:pt>
                <c:pt idx="32">
                  <c:v>20.372144646295354</c:v>
                </c:pt>
                <c:pt idx="33">
                  <c:v>20.954795313254809</c:v>
                </c:pt>
                <c:pt idx="34">
                  <c:v>21.526521490371515</c:v>
                </c:pt>
                <c:pt idx="35">
                  <c:v>22.087445266810793</c:v>
                </c:pt>
                <c:pt idx="36">
                  <c:v>22.637700821363381</c:v>
                </c:pt>
                <c:pt idx="37">
                  <c:v>23.177431949244188</c:v>
                </c:pt>
                <c:pt idx="38">
                  <c:v>23.706789981786596</c:v>
                </c:pt>
                <c:pt idx="39">
                  <c:v>24.225932038256385</c:v>
                </c:pt>
                <c:pt idx="40">
                  <c:v>24.735019558339118</c:v>
                </c:pt>
                <c:pt idx="41">
                  <c:v>25.234217071722359</c:v>
                </c:pt>
                <c:pt idx="42">
                  <c:v>25.723691167805548</c:v>
                </c:pt>
                <c:pt idx="43">
                  <c:v>26.203609634089787</c:v>
                </c:pt>
                <c:pt idx="44">
                  <c:v>26.674140736347471</c:v>
                </c:pt>
                <c:pt idx="45">
                  <c:v>27.135452617321857</c:v>
                </c:pt>
                <c:pt idx="46">
                  <c:v>27.587712793480232</c:v>
                </c:pt>
                <c:pt idx="47">
                  <c:v>28.031087731196148</c:v>
                </c:pt>
                <c:pt idx="48">
                  <c:v>28.465742484535266</c:v>
                </c:pt>
                <c:pt idx="49">
                  <c:v>28.891840376318765</c:v>
                </c:pt>
                <c:pt idx="50">
                  <c:v>29.309542701932951</c:v>
                </c:pt>
                <c:pt idx="51">
                  <c:v>29.719008430818896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1A-DE4D-B0E9-A5336A0C2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8572400"/>
        <c:axId val="1478574032"/>
      </c:lineChart>
      <c:catAx>
        <c:axId val="147857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78574032"/>
        <c:crosses val="autoZero"/>
        <c:auto val="1"/>
        <c:lblAlgn val="ctr"/>
        <c:lblOffset val="100"/>
        <c:noMultiLvlLbl val="0"/>
      </c:catAx>
      <c:valAx>
        <c:axId val="1478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7857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14</xdr:row>
      <xdr:rowOff>162332</xdr:rowOff>
    </xdr:from>
    <xdr:to>
      <xdr:col>3</xdr:col>
      <xdr:colOff>735263</xdr:colOff>
      <xdr:row>27</xdr:row>
      <xdr:rowOff>133685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FC8E0AC0-A735-9449-85F6-B39D77664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1395091</xdr:colOff>
      <xdr:row>14</xdr:row>
      <xdr:rowOff>124135</xdr:rowOff>
    </xdr:from>
    <xdr:to>
      <xdr:col>6</xdr:col>
      <xdr:colOff>76391</xdr:colOff>
      <xdr:row>28</xdr:row>
      <xdr:rowOff>85941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B18456C-86A7-AC4C-8410-20E6F0F45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184150</xdr:colOff>
      <xdr:row>2</xdr:row>
      <xdr:rowOff>184150</xdr:rowOff>
    </xdr:from>
    <xdr:to>
      <xdr:col>16</xdr:col>
      <xdr:colOff>533400</xdr:colOff>
      <xdr:row>20</xdr:row>
      <xdr:rowOff>177800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982639A-5BBE-3F4A-8E78-771932378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0669D0D-EB93-3D46-8289-397FCE335B7B}" name="Tabla13" displayName="Tabla13" ref="A3:C87" totalsRowShown="0" headerRowDxfId="24" dataDxfId="31" headerRowBorderDxfId="29" tableBorderDxfId="30" totalsRowBorderDxfId="28">
  <autoFilter ref="A3:C87" xr:uid="{75283E15-3AAA-CC42-A20F-810710EA0BE1}"/>
  <tableColumns count="3">
    <tableColumn id="1" xr3:uid="{DCB63168-A0E2-034A-8578-9816421F1BA4}" name="i" dataDxfId="27"/>
    <tableColumn id="2" xr3:uid="{144FEEF9-44F5-D148-B34D-369F5DE1B4E7}" name="2" dataDxfId="26">
      <calculatedColumnFormula>(4*A4^2)/(4*A4^2-1)</calculatedColumnFormula>
    </tableColumn>
    <tableColumn id="3" xr3:uid="{C71A206D-8010-C645-9E54-98A343F2263C}" name="PI" dataDxfId="25">
      <calculatedColumnFormula>B4*$B$3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1CD23-0BAA-C346-8C41-B006E602DA4B}" name="Tabla14" displayName="Tabla14" ref="A3:D53" totalsRowShown="0" headerRowDxfId="14" dataDxfId="13">
  <autoFilter ref="A3:D53" xr:uid="{5063811B-DB1A-2C47-9F89-D02547E72CE1}"/>
  <tableColumns count="4">
    <tableColumn id="1" xr3:uid="{64448AC0-4AE9-C948-A790-AC409FF689E3}" name="i" dataDxfId="12"/>
    <tableColumn id="2" xr3:uid="{E272FC76-DF18-DA49-91DB-34DE5F8689F9}" name="Formula" dataDxfId="11">
      <calculatedColumnFormula>((-1)^A4)/(2*A4+1)</calculatedColumnFormula>
    </tableColumn>
    <tableColumn id="3" xr3:uid="{CC7061AE-52E6-FC47-8075-5D68809A38D9}" name="1" dataDxfId="10">
      <calculatedColumnFormula>B4+C3</calculatedColumnFormula>
    </tableColumn>
    <tableColumn id="4" xr3:uid="{96F7B682-DEAF-154B-9CAC-8BB834FC4E1B}" name="4" dataDxfId="9">
      <calculatedColumnFormula>C4*$D$3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62A8FB-28BA-B342-B89E-1B311674648D}" name="Tabla15" displayName="Tabla15" ref="A3:D53" totalsRowShown="0" headerRowDxfId="15" dataDxfId="23" headerRowBorderDxfId="21" tableBorderDxfId="22" totalsRowBorderDxfId="20">
  <autoFilter ref="A3:D53" xr:uid="{862EB5A0-8703-6F4D-814B-5754EDC9E159}"/>
  <tableColumns count="4">
    <tableColumn id="1" xr3:uid="{86837478-CA0F-8E44-9BE5-1F2D7A3AADFE}" name="i" dataDxfId="19"/>
    <tableColumn id="2" xr3:uid="{12A135E2-2F71-3343-9353-B632E8594AD1}" name="Formula" dataDxfId="18">
      <calculatedColumnFormula>((2^A4)*((FACT(A4)^2)))/(FACT(2*A4+1))</calculatedColumnFormula>
    </tableColumn>
    <tableColumn id="3" xr3:uid="{51993566-F0CE-AF4A-BC3E-BE91B5A6DDE9}" name="1" dataDxfId="17">
      <calculatedColumnFormula>B4+C3</calculatedColumnFormula>
    </tableColumn>
    <tableColumn id="4" xr3:uid="{E151F0FB-66DA-1D4A-84F9-4BB09F9251FC}" name="2" dataDxfId="16">
      <calculatedColumnFormula>C4*$D$3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6069FC-29E3-B140-A04E-807AB3C9E486}" name="Tabla1" displayName="Tabla1" ref="A35:F400" totalsRowShown="0" headerRowDxfId="66" dataDxfId="67">
  <autoFilter ref="A35:F400" xr:uid="{5712A830-8857-894E-AA69-7EF387C4FF45}"/>
  <tableColumns count="6">
    <tableColumn id="1" xr3:uid="{FDA6303C-B45C-474F-B909-7AFEC95326B1}" name="DIAS" dataDxfId="70"/>
    <tableColumn id="2" xr3:uid="{C98A4483-A38E-8649-A648-079EA3C852D5}" name="Produccio Dia" dataDxfId="50">
      <calculatedColumnFormula>RANDBETWEEN($A$33,$B$33)</calculatedColumnFormula>
    </tableColumn>
    <tableColumn id="3" xr3:uid="{97FDF2A1-300A-4A44-943F-22EFA753D24A}" name="Venta Dia" dataDxfId="69">
      <calculatedColumnFormula>IF(RAND()&gt;=0.5,5,IF(RAND()&gt;=0.2,4,6))</calculatedColumnFormula>
    </tableColumn>
    <tableColumn id="4" xr3:uid="{82CF1EFE-EA11-7146-8FFC-52E98E92701B}" name="Bodega" dataDxfId="68">
      <calculatedColumnFormula>E5+B36-C36</calculatedColumnFormula>
    </tableColumn>
    <tableColumn id="5" xr3:uid="{31E046CA-AFDD-254A-97E7-91A24D8ADEEB}" name="Déficit bodega" dataDxfId="45">
      <calculatedColumnFormula array="1">ABS(IF(Tabla1[[#This Row],[Bodega]]&gt;0,Tabla1[[#This Row],[Bodega]]*Tabla2[Costo unitario Inventario],Tabla1[[#This Row],[Bodega]]*Tabla2[Costo unitario Deficit]))</calculatedColumnFormula>
    </tableColumn>
    <tableColumn id="6" xr3:uid="{FF33E5F4-68DF-8B43-8687-072FF92DAD84}" name="Utilidad Promedio" dataDxfId="44">
      <calculatedColumnFormula array="1">(Tabla1[[#This Row],[Venta Dia]]*Tabla2[Precio de venta])-(Tabla1[[#This Row],[Venta Dia]]*Tabla2[Costo Produccion])-Tabla1[[#This Row],[Déficit bodega]]</calculatedColumnFormula>
    </tableColumn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7AD83D-1C27-4940-8F3B-E15919B15C13}" name="Tabla2" displayName="Tabla2" ref="A5:J6" totalsRowShown="0" headerRowDxfId="65" dataDxfId="64" headerRowBorderDxfId="62" tableBorderDxfId="63" totalsRowBorderDxfId="61">
  <autoFilter ref="A5:J6" xr:uid="{4CA005A6-92AA-224D-AA55-34AE650163D3}"/>
  <tableColumns count="10">
    <tableColumn id="1" xr3:uid="{C28E2A74-1FAC-A74E-A389-25521F281B72}" name="Incial" dataDxfId="60"/>
    <tableColumn id="2" xr3:uid="{E2E7143C-4F40-014B-954C-7714454E2ACC}" name="Produccion" dataDxfId="59">
      <calculatedColumnFormula>SUM(B36:B400)</calculatedColumnFormula>
    </tableColumn>
    <tableColumn id="3" xr3:uid="{0331D09D-2F5B-6B48-95B2-E7066573B10E}" name="ventas" dataDxfId="58">
      <calculatedColumnFormula>SUM(C36:C400)</calculatedColumnFormula>
    </tableColumn>
    <tableColumn id="4" xr3:uid="{BF2377A1-06B1-0A40-A57F-ADC771007841}" name="Bodega" dataDxfId="57">
      <calculatedColumnFormula>A6+B6-C6</calculatedColumnFormula>
    </tableColumn>
    <tableColumn id="5" xr3:uid="{740CAA14-FC68-7847-A104-3F49991B37A2}" name="Precio de venta" dataDxfId="56"/>
    <tableColumn id="6" xr3:uid="{2E1EAEFD-1FEE-2447-AA46-3CA993C79F43}" name="Costo Produccion" dataDxfId="55"/>
    <tableColumn id="7" xr3:uid="{4FD8AEF3-3F77-EE43-B490-BCE112EC5FED}" name="Costo unitario Inventario" dataDxfId="54"/>
    <tableColumn id="8" xr3:uid="{2AE17924-9336-224C-AEEB-93953647580C}" name="Costo unitario Deficit" dataDxfId="53"/>
    <tableColumn id="9" xr3:uid="{3F8F9491-D4D5-FA4D-8F14-FD759C9DE214}" name="Inv. Promedio Bodega" dataDxfId="52">
      <calculatedColumnFormula>AVERAGE(D36:D64)</calculatedColumnFormula>
    </tableColumn>
    <tableColumn id="10" xr3:uid="{D37890F5-FC34-F848-AD40-C1B3A643D314}" name="Promedio Produccion" dataDxfId="51">
      <calculatedColumnFormula>AVERAGE(Tabla1[Produccio Dia])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0DE7DA-D6F6-FE4E-BA66-80AEBF1E97F9}" name="Tabla3" displayName="Tabla3" ref="A32:B33" totalsRowShown="0" headerRowDxfId="47" dataDxfId="48">
  <autoFilter ref="A32:B33" xr:uid="{4D0E5533-8E1B-7743-BF99-2C7021C470BF}"/>
  <tableColumns count="2">
    <tableColumn id="1" xr3:uid="{DD7E4052-0289-984F-8770-91B0F766AF65}" name="Desde" dataDxfId="49"/>
    <tableColumn id="2" xr3:uid="{067A0CBF-D4A2-4C44-8CA6-B833D02F67B1}" name="Hasta" dataDxfId="4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90279A-00CA-DA44-8A96-00BDA0375FED}" name="Tabla4" displayName="Tabla4" ref="A8:F13" totalsRowShown="0" headerRowDxfId="41" dataDxfId="40">
  <autoFilter ref="A8:F13" xr:uid="{A1DB9535-AE29-4341-A749-4E3FDEF7DD01}"/>
  <tableColumns count="6">
    <tableColumn id="1" xr3:uid="{7D3EFC51-3B41-4544-908C-1665A7B0EE25}" name="Ventas" dataDxfId="39">
      <calculatedColumnFormula array="1">Tabla2[ventas]*Tabla2[Precio de venta]</calculatedColumnFormula>
    </tableColumn>
    <tableColumn id="2" xr3:uid="{4CDD9813-C510-C841-837D-E1B5FC3E56DF}" name="Prod.Diaria recomendada" dataDxfId="43">
      <calculatedColumnFormula array="1">Tabla2[ventas]/365</calculatedColumnFormula>
    </tableColumn>
    <tableColumn id="9" xr3:uid="{F3416DE8-8A3F-D943-9EBB-29FCC5C8FA25}" name="Produccion" dataDxfId="42"/>
    <tableColumn id="10" xr3:uid="{55BA6DA6-DDB3-574A-8F37-142F3E39580F}" name="Inventario Promedio por Produción" dataDxfId="34">
      <calculatedColumnFormula>AVERAGEIF(Tabla1[Produccio Dia],Tabla4[[#This Row],[Produccion]],Tabla1[Bodega])</calculatedColumnFormula>
    </tableColumn>
    <tableColumn id="11" xr3:uid="{04617659-53C5-B646-A23E-7288DEAE3440}" name="Utilidad Promedio por producción" dataDxfId="32">
      <calculatedColumnFormula>AVERAGEIF(Tabla1[Produccio Dia],Tabla4[[#This Row],[Produccion]],Tabla1[Utilidad Promedio])</calculatedColumnFormula>
    </tableColumn>
    <tableColumn id="13" xr3:uid="{0BADE334-E6CC-8C45-A54C-2AEAFDE7CE5F}" name="Utilidad total por producción" dataDxfId="33">
      <calculatedColumnFormula>SUMIF(Tabla1[Produccio Dia],Tabla4[[#This Row],[Produccion]],Tabla1[Utilidad Promedio])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115A1B-1736-5D4B-A495-038E16B8A0BE}" name="Tabla7" displayName="Tabla7" ref="A2:B10" totalsRowShown="0" headerRowDxfId="36" dataDxfId="35">
  <autoFilter ref="A2:B10" xr:uid="{7B6D18C5-F48E-6D40-8869-AD0F4893CBE7}"/>
  <tableColumns count="2">
    <tableColumn id="1" xr3:uid="{6E4FBCE0-5CE8-1045-816C-92FD034D8670}" name="Item" dataDxfId="38"/>
    <tableColumn id="2" xr3:uid="{D02860A2-DAC3-9B41-A291-D9311DDD1E76}" name="Condicion" dataDxfId="3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C8F82F-7EFB-DE45-B72E-A2CE5E785F80}" name="Tabla16" displayName="Tabla16" ref="A14:G66" totalsRowShown="0" headerRowDxfId="0" dataDxfId="1">
  <autoFilter ref="A14:G66" xr:uid="{E1753E2B-7F88-D74C-9127-1B768597A6BD}"/>
  <tableColumns count="7">
    <tableColumn id="1" xr3:uid="{CE5A80BD-7309-D54C-A16C-5DD8B9037ED9}" name="semana" dataDxfId="8"/>
    <tableColumn id="2" xr3:uid="{FB27D798-F927-8941-B54F-974F263CE0DC}" name="deseados" dataDxfId="7"/>
    <tableColumn id="3" xr3:uid="{D31A5ACE-A628-0C4D-8B80-D14A902D611C}" name="Tasa de reclutamiento" dataDxfId="6">
      <calculatedColumnFormula>(B15-F15)/4</calculatedColumnFormula>
    </tableColumn>
    <tableColumn id="4" xr3:uid="{44D692F1-1F3E-C94D-AC03-6D4C8BCE3B0A}" name="Tasa de captura" dataDxfId="5">
      <calculatedColumnFormula>F15*0.05</calculatedColumnFormula>
    </tableColumn>
    <tableColumn id="5" xr3:uid="{A7A67E2C-9E51-EB4C-9FA7-B137D47F83E6}" name="Tasa de reincorporados" dataDxfId="4">
      <calculatedColumnFormula>(G15*0.1)/2</calculatedColumnFormula>
    </tableColumn>
    <tableColumn id="6" xr3:uid="{A8F92CD3-7B7E-8F46-A33B-C4BC8D50E457}" name="Activos" dataDxfId="3">
      <calculatedColumnFormula>F14+(C14/2)-(D14/2)+(E14/2)</calculatedColumnFormula>
    </tableColumn>
    <tableColumn id="7" xr3:uid="{BF9889FA-5E8E-B842-B93B-EFDA70C684F0}" name="Prisión" dataDxfId="2">
      <calculatedColumnFormula>G14+(D15/2)-(E15/2)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D7E01-5058-6641-8707-53D7C9F63E1E}">
  <sheetPr codeName="Hoja2"/>
  <dimension ref="B5:N18"/>
  <sheetViews>
    <sheetView workbookViewId="0">
      <selection activeCell="N23" sqref="N23"/>
    </sheetView>
  </sheetViews>
  <sheetFormatPr baseColWidth="10" defaultRowHeight="15" x14ac:dyDescent="0.2"/>
  <cols>
    <col min="1" max="1" width="10.83203125" style="2"/>
    <col min="2" max="3" width="10.83203125" style="1"/>
    <col min="4" max="12" width="10.83203125" style="2"/>
    <col min="13" max="13" width="28.5" style="2" customWidth="1"/>
    <col min="14" max="16384" width="10.83203125" style="2"/>
  </cols>
  <sheetData>
    <row r="5" spans="8:14" ht="24" x14ac:dyDescent="0.3">
      <c r="H5" s="13" t="s">
        <v>4</v>
      </c>
      <c r="I5" s="13"/>
      <c r="J5" s="13"/>
      <c r="K5" s="13"/>
      <c r="L5" s="13"/>
      <c r="M5" s="13"/>
    </row>
    <row r="13" spans="8:14" ht="26" x14ac:dyDescent="0.3">
      <c r="H13" s="14" t="s">
        <v>5</v>
      </c>
      <c r="I13" s="15"/>
      <c r="J13" s="15"/>
      <c r="K13" s="15"/>
      <c r="L13" s="16"/>
      <c r="M13" s="6">
        <v>4</v>
      </c>
      <c r="N13" s="3"/>
    </row>
    <row r="14" spans="8:14" ht="26" x14ac:dyDescent="0.3">
      <c r="H14" s="10" t="s">
        <v>0</v>
      </c>
      <c r="I14" s="11"/>
      <c r="J14" s="11"/>
      <c r="K14" s="11"/>
      <c r="L14" s="12"/>
      <c r="M14" s="4">
        <f>M13^2</f>
        <v>16</v>
      </c>
      <c r="N14" s="3"/>
    </row>
    <row r="15" spans="8:14" ht="26" x14ac:dyDescent="0.3">
      <c r="H15" s="10" t="s">
        <v>1</v>
      </c>
      <c r="I15" s="11"/>
      <c r="J15" s="11"/>
      <c r="K15" s="11"/>
      <c r="L15" s="12"/>
      <c r="M15" s="4">
        <f>M13/2</f>
        <v>2</v>
      </c>
      <c r="N15" s="3"/>
    </row>
    <row r="16" spans="8:14" ht="26" x14ac:dyDescent="0.3">
      <c r="H16" s="10" t="s">
        <v>3</v>
      </c>
      <c r="I16" s="11"/>
      <c r="J16" s="11"/>
      <c r="K16" s="11"/>
      <c r="L16" s="12"/>
      <c r="M16" s="5">
        <f ca="1">RANDBETWEEN(1000000,10000000)</f>
        <v>7142949</v>
      </c>
      <c r="N16" s="3"/>
    </row>
    <row r="17" spans="8:14" ht="26" x14ac:dyDescent="0.3">
      <c r="H17" s="10" t="s">
        <v>2</v>
      </c>
      <c r="I17" s="11"/>
      <c r="J17" s="11"/>
      <c r="K17" s="11"/>
      <c r="L17" s="12"/>
      <c r="M17" s="5">
        <f ca="1">RANDBETWEEN(0,M16)</f>
        <v>7004460</v>
      </c>
      <c r="N17" s="3"/>
    </row>
    <row r="18" spans="8:14" ht="26" x14ac:dyDescent="0.3">
      <c r="H18" s="10" t="s">
        <v>6</v>
      </c>
      <c r="I18" s="11"/>
      <c r="J18" s="11"/>
      <c r="K18" s="11"/>
      <c r="L18" s="12"/>
      <c r="M18" s="4">
        <f ca="1">(M14*M17)/(2^2*M16)</f>
        <v>3.922447157329557</v>
      </c>
      <c r="N18" s="3"/>
    </row>
  </sheetData>
  <mergeCells count="7">
    <mergeCell ref="H18:L18"/>
    <mergeCell ref="H5:M5"/>
    <mergeCell ref="H13:L13"/>
    <mergeCell ref="H14:L14"/>
    <mergeCell ref="H15:L15"/>
    <mergeCell ref="H16:L16"/>
    <mergeCell ref="H17:L17"/>
  </mergeCell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D0C90-78F6-3849-BEFD-244FB248E8B3}">
  <dimension ref="A2:D87"/>
  <sheetViews>
    <sheetView workbookViewId="0">
      <selection activeCell="D11" sqref="D11"/>
    </sheetView>
  </sheetViews>
  <sheetFormatPr baseColWidth="10" defaultRowHeight="15" x14ac:dyDescent="0.2"/>
  <cols>
    <col min="1" max="1" width="10.83203125" style="31"/>
    <col min="2" max="2" width="56.33203125" style="31" customWidth="1"/>
    <col min="3" max="3" width="48.1640625" style="31" customWidth="1"/>
    <col min="4" max="4" width="28.5" style="31" customWidth="1"/>
    <col min="5" max="16384" width="10.83203125" style="32"/>
  </cols>
  <sheetData>
    <row r="2" spans="1:3" x14ac:dyDescent="0.2">
      <c r="B2" s="35" t="s">
        <v>50</v>
      </c>
    </row>
    <row r="3" spans="1:3" s="36" customFormat="1" ht="26" x14ac:dyDescent="0.3">
      <c r="A3" s="39" t="s">
        <v>7</v>
      </c>
      <c r="B3" s="40" t="s">
        <v>49</v>
      </c>
      <c r="C3" s="41" t="s">
        <v>16</v>
      </c>
    </row>
    <row r="4" spans="1:3" ht="26" x14ac:dyDescent="0.3">
      <c r="A4" s="42">
        <v>1</v>
      </c>
      <c r="B4" s="43">
        <f>(4*A4^2)/(4*A4^2-1)</f>
        <v>1.3333333333333333</v>
      </c>
      <c r="C4" s="44">
        <f>B4*$B$3</f>
        <v>2.6666666666666665</v>
      </c>
    </row>
    <row r="5" spans="1:3" ht="26" x14ac:dyDescent="0.3">
      <c r="A5" s="42">
        <v>2</v>
      </c>
      <c r="B5" s="43">
        <f t="shared" ref="B5:B68" si="0">(4*A5^2)/(4*A5^2-1)</f>
        <v>1.0666666666666667</v>
      </c>
      <c r="C5" s="44">
        <f t="shared" ref="C5:C68" si="1">B5*$B$3</f>
        <v>2.1333333333333333</v>
      </c>
    </row>
    <row r="6" spans="1:3" ht="26" x14ac:dyDescent="0.3">
      <c r="A6" s="42">
        <v>3</v>
      </c>
      <c r="B6" s="43">
        <f t="shared" si="0"/>
        <v>1.0285714285714285</v>
      </c>
      <c r="C6" s="44">
        <f t="shared" si="1"/>
        <v>2.0571428571428569</v>
      </c>
    </row>
    <row r="7" spans="1:3" ht="26" x14ac:dyDescent="0.3">
      <c r="A7" s="42">
        <v>4</v>
      </c>
      <c r="B7" s="43">
        <f t="shared" si="0"/>
        <v>1.0158730158730158</v>
      </c>
      <c r="C7" s="44">
        <f t="shared" si="1"/>
        <v>2.0317460317460316</v>
      </c>
    </row>
    <row r="8" spans="1:3" ht="26" x14ac:dyDescent="0.3">
      <c r="A8" s="42">
        <v>5</v>
      </c>
      <c r="B8" s="43">
        <f t="shared" si="0"/>
        <v>1.0101010101010102</v>
      </c>
      <c r="C8" s="44">
        <f t="shared" si="1"/>
        <v>2.0202020202020203</v>
      </c>
    </row>
    <row r="9" spans="1:3" ht="26" x14ac:dyDescent="0.3">
      <c r="A9" s="42">
        <v>6</v>
      </c>
      <c r="B9" s="43">
        <f t="shared" si="0"/>
        <v>1.0069930069930071</v>
      </c>
      <c r="C9" s="44">
        <f t="shared" si="1"/>
        <v>2.0139860139860142</v>
      </c>
    </row>
    <row r="10" spans="1:3" ht="26" x14ac:dyDescent="0.3">
      <c r="A10" s="42">
        <v>7</v>
      </c>
      <c r="B10" s="43">
        <f t="shared" si="0"/>
        <v>1.0051282051282051</v>
      </c>
      <c r="C10" s="44">
        <f t="shared" si="1"/>
        <v>2.0102564102564102</v>
      </c>
    </row>
    <row r="11" spans="1:3" ht="26" x14ac:dyDescent="0.3">
      <c r="A11" s="42">
        <v>8</v>
      </c>
      <c r="B11" s="43">
        <f t="shared" si="0"/>
        <v>1.003921568627451</v>
      </c>
      <c r="C11" s="44">
        <f t="shared" si="1"/>
        <v>2.0078431372549019</v>
      </c>
    </row>
    <row r="12" spans="1:3" ht="26" x14ac:dyDescent="0.3">
      <c r="A12" s="42">
        <v>9</v>
      </c>
      <c r="B12" s="43">
        <f t="shared" si="0"/>
        <v>1.0030959752321982</v>
      </c>
      <c r="C12" s="44">
        <f t="shared" si="1"/>
        <v>2.0061919504643964</v>
      </c>
    </row>
    <row r="13" spans="1:3" ht="26" x14ac:dyDescent="0.3">
      <c r="A13" s="42">
        <v>10</v>
      </c>
      <c r="B13" s="43">
        <f t="shared" si="0"/>
        <v>1.0025062656641603</v>
      </c>
      <c r="C13" s="44">
        <f t="shared" si="1"/>
        <v>2.0050125313283207</v>
      </c>
    </row>
    <row r="14" spans="1:3" ht="26" x14ac:dyDescent="0.3">
      <c r="A14" s="42">
        <v>11</v>
      </c>
      <c r="B14" s="43">
        <f t="shared" si="0"/>
        <v>1.0020703933747412</v>
      </c>
      <c r="C14" s="44">
        <f t="shared" si="1"/>
        <v>2.0041407867494825</v>
      </c>
    </row>
    <row r="15" spans="1:3" ht="26" x14ac:dyDescent="0.3">
      <c r="A15" s="42">
        <v>12</v>
      </c>
      <c r="B15" s="43">
        <f t="shared" si="0"/>
        <v>1.0017391304347827</v>
      </c>
      <c r="C15" s="44">
        <f t="shared" si="1"/>
        <v>2.0034782608695654</v>
      </c>
    </row>
    <row r="16" spans="1:3" ht="26" x14ac:dyDescent="0.3">
      <c r="A16" s="42">
        <v>13</v>
      </c>
      <c r="B16" s="43">
        <f t="shared" si="0"/>
        <v>1.0014814814814814</v>
      </c>
      <c r="C16" s="44">
        <f t="shared" si="1"/>
        <v>2.0029629629629628</v>
      </c>
    </row>
    <row r="17" spans="1:3" ht="26" x14ac:dyDescent="0.3">
      <c r="A17" s="42">
        <v>14</v>
      </c>
      <c r="B17" s="43">
        <f t="shared" si="0"/>
        <v>1.0012771392081736</v>
      </c>
      <c r="C17" s="44">
        <f t="shared" si="1"/>
        <v>2.0025542784163473</v>
      </c>
    </row>
    <row r="18" spans="1:3" ht="26" x14ac:dyDescent="0.3">
      <c r="A18" s="42">
        <v>15</v>
      </c>
      <c r="B18" s="43">
        <f t="shared" si="0"/>
        <v>1.0011123470522802</v>
      </c>
      <c r="C18" s="44">
        <f t="shared" si="1"/>
        <v>2.0022246941045605</v>
      </c>
    </row>
    <row r="19" spans="1:3" ht="26" x14ac:dyDescent="0.3">
      <c r="A19" s="42">
        <v>16</v>
      </c>
      <c r="B19" s="43">
        <f t="shared" si="0"/>
        <v>1.0009775171065494</v>
      </c>
      <c r="C19" s="44">
        <f t="shared" si="1"/>
        <v>2.0019550342130987</v>
      </c>
    </row>
    <row r="20" spans="1:3" ht="26" x14ac:dyDescent="0.3">
      <c r="A20" s="42">
        <v>17</v>
      </c>
      <c r="B20" s="43">
        <f t="shared" si="0"/>
        <v>1.0008658008658009</v>
      </c>
      <c r="C20" s="44">
        <f t="shared" si="1"/>
        <v>2.0017316017316018</v>
      </c>
    </row>
    <row r="21" spans="1:3" ht="26" x14ac:dyDescent="0.3">
      <c r="A21" s="42">
        <v>18</v>
      </c>
      <c r="B21" s="43">
        <f t="shared" si="0"/>
        <v>1.0007722007722009</v>
      </c>
      <c r="C21" s="44">
        <f t="shared" si="1"/>
        <v>2.0015444015444017</v>
      </c>
    </row>
    <row r="22" spans="1:3" ht="26" x14ac:dyDescent="0.3">
      <c r="A22" s="42">
        <v>19</v>
      </c>
      <c r="B22" s="43">
        <f t="shared" si="0"/>
        <v>1.0006930006930006</v>
      </c>
      <c r="C22" s="44">
        <f t="shared" si="1"/>
        <v>2.0013860013860012</v>
      </c>
    </row>
    <row r="23" spans="1:3" ht="26" x14ac:dyDescent="0.3">
      <c r="A23" s="42">
        <v>20</v>
      </c>
      <c r="B23" s="43">
        <f t="shared" si="0"/>
        <v>1.0006253908692933</v>
      </c>
      <c r="C23" s="44">
        <f t="shared" si="1"/>
        <v>2.0012507817385865</v>
      </c>
    </row>
    <row r="24" spans="1:3" ht="26" x14ac:dyDescent="0.3">
      <c r="A24" s="42">
        <v>21</v>
      </c>
      <c r="B24" s="43">
        <f t="shared" si="0"/>
        <v>1.0005672149744753</v>
      </c>
      <c r="C24" s="44">
        <f t="shared" si="1"/>
        <v>2.0011344299489506</v>
      </c>
    </row>
    <row r="25" spans="1:3" ht="26" x14ac:dyDescent="0.3">
      <c r="A25" s="42">
        <v>22</v>
      </c>
      <c r="B25" s="43">
        <f t="shared" si="0"/>
        <v>1.0005167958656331</v>
      </c>
      <c r="C25" s="44">
        <f t="shared" si="1"/>
        <v>2.0010335917312663</v>
      </c>
    </row>
    <row r="26" spans="1:3" ht="26" x14ac:dyDescent="0.3">
      <c r="A26" s="42">
        <v>23</v>
      </c>
      <c r="B26" s="43">
        <f t="shared" si="0"/>
        <v>1.0004728132387706</v>
      </c>
      <c r="C26" s="44">
        <f t="shared" si="1"/>
        <v>2.0009456264775412</v>
      </c>
    </row>
    <row r="27" spans="1:3" ht="26" x14ac:dyDescent="0.3">
      <c r="A27" s="42">
        <v>24</v>
      </c>
      <c r="B27" s="43">
        <f t="shared" si="0"/>
        <v>1.0004342162396873</v>
      </c>
      <c r="C27" s="44">
        <f t="shared" si="1"/>
        <v>2.0008684324793746</v>
      </c>
    </row>
    <row r="28" spans="1:3" ht="26" x14ac:dyDescent="0.3">
      <c r="A28" s="42">
        <v>25</v>
      </c>
      <c r="B28" s="43">
        <f t="shared" si="0"/>
        <v>1.0004001600640255</v>
      </c>
      <c r="C28" s="44">
        <f t="shared" si="1"/>
        <v>2.0008003201280511</v>
      </c>
    </row>
    <row r="29" spans="1:3" ht="26" x14ac:dyDescent="0.3">
      <c r="A29" s="42">
        <v>26</v>
      </c>
      <c r="B29" s="43">
        <f t="shared" si="0"/>
        <v>1.0003699593044766</v>
      </c>
      <c r="C29" s="44">
        <f t="shared" si="1"/>
        <v>2.0007399186089532</v>
      </c>
    </row>
    <row r="30" spans="1:3" ht="26" x14ac:dyDescent="0.3">
      <c r="A30" s="42">
        <v>27</v>
      </c>
      <c r="B30" s="43">
        <f t="shared" si="0"/>
        <v>1.0003430531732418</v>
      </c>
      <c r="C30" s="44">
        <f t="shared" si="1"/>
        <v>2.0006861063464836</v>
      </c>
    </row>
    <row r="31" spans="1:3" ht="26" x14ac:dyDescent="0.3">
      <c r="A31" s="42">
        <v>28</v>
      </c>
      <c r="B31" s="43">
        <f t="shared" si="0"/>
        <v>1.0003189792663476</v>
      </c>
      <c r="C31" s="44">
        <f t="shared" si="1"/>
        <v>2.0006379585326952</v>
      </c>
    </row>
    <row r="32" spans="1:3" ht="26" x14ac:dyDescent="0.3">
      <c r="A32" s="42">
        <v>29</v>
      </c>
      <c r="B32" s="43">
        <f t="shared" si="0"/>
        <v>1.000297353553375</v>
      </c>
      <c r="C32" s="44">
        <f t="shared" si="1"/>
        <v>2.00059470710675</v>
      </c>
    </row>
    <row r="33" spans="1:3" ht="26" x14ac:dyDescent="0.3">
      <c r="A33" s="42">
        <v>30</v>
      </c>
      <c r="B33" s="43">
        <f t="shared" si="0"/>
        <v>1.0002778549597111</v>
      </c>
      <c r="C33" s="44">
        <f t="shared" si="1"/>
        <v>2.0005557099194222</v>
      </c>
    </row>
    <row r="34" spans="1:3" ht="26" x14ac:dyDescent="0.3">
      <c r="A34" s="42">
        <v>31</v>
      </c>
      <c r="B34" s="43">
        <f t="shared" si="0"/>
        <v>1.0002602133749674</v>
      </c>
      <c r="C34" s="44">
        <f t="shared" si="1"/>
        <v>2.0005204267499348</v>
      </c>
    </row>
    <row r="35" spans="1:3" ht="26" x14ac:dyDescent="0.3">
      <c r="A35" s="42">
        <v>32</v>
      </c>
      <c r="B35" s="43">
        <f t="shared" si="0"/>
        <v>1.0002442002442002</v>
      </c>
      <c r="C35" s="44">
        <f t="shared" si="1"/>
        <v>2.0004884004884005</v>
      </c>
    </row>
    <row r="36" spans="1:3" ht="26" x14ac:dyDescent="0.3">
      <c r="A36" s="42">
        <v>33</v>
      </c>
      <c r="B36" s="43">
        <f t="shared" si="0"/>
        <v>1.0002296211251436</v>
      </c>
      <c r="C36" s="44">
        <f t="shared" si="1"/>
        <v>2.0004592422502872</v>
      </c>
    </row>
    <row r="37" spans="1:3" ht="26" x14ac:dyDescent="0.3">
      <c r="A37" s="42">
        <v>34</v>
      </c>
      <c r="B37" s="43">
        <f t="shared" si="0"/>
        <v>1.0002163097555701</v>
      </c>
      <c r="C37" s="44">
        <f t="shared" si="1"/>
        <v>2.0004326195111402</v>
      </c>
    </row>
    <row r="38" spans="1:3" ht="26" x14ac:dyDescent="0.3">
      <c r="A38" s="42">
        <v>35</v>
      </c>
      <c r="B38" s="43">
        <f t="shared" si="0"/>
        <v>1.0002041232904675</v>
      </c>
      <c r="C38" s="44">
        <f t="shared" si="1"/>
        <v>2.000408246580935</v>
      </c>
    </row>
    <row r="39" spans="1:3" ht="26" x14ac:dyDescent="0.3">
      <c r="A39" s="42">
        <v>36</v>
      </c>
      <c r="B39" s="43">
        <f t="shared" si="0"/>
        <v>1.0001929384526336</v>
      </c>
      <c r="C39" s="44">
        <f t="shared" si="1"/>
        <v>2.0003858769052671</v>
      </c>
    </row>
    <row r="40" spans="1:3" ht="26" x14ac:dyDescent="0.3">
      <c r="A40" s="42">
        <v>37</v>
      </c>
      <c r="B40" s="43">
        <f t="shared" si="0"/>
        <v>1.0001826484018266</v>
      </c>
      <c r="C40" s="44">
        <f t="shared" si="1"/>
        <v>2.0003652968036532</v>
      </c>
    </row>
    <row r="41" spans="1:3" ht="26" x14ac:dyDescent="0.3">
      <c r="A41" s="42">
        <v>38</v>
      </c>
      <c r="B41" s="43">
        <f t="shared" si="0"/>
        <v>1.0001731601731603</v>
      </c>
      <c r="C41" s="44">
        <f t="shared" si="1"/>
        <v>2.0003463203463205</v>
      </c>
    </row>
    <row r="42" spans="1:3" ht="26" x14ac:dyDescent="0.3">
      <c r="A42" s="42">
        <v>39</v>
      </c>
      <c r="B42" s="43">
        <f t="shared" si="0"/>
        <v>1.0001643925694559</v>
      </c>
      <c r="C42" s="44">
        <f t="shared" si="1"/>
        <v>2.0003287851389118</v>
      </c>
    </row>
    <row r="43" spans="1:3" ht="26" x14ac:dyDescent="0.3">
      <c r="A43" s="42">
        <v>40</v>
      </c>
      <c r="B43" s="43">
        <f t="shared" si="0"/>
        <v>1.0001562744178778</v>
      </c>
      <c r="C43" s="44">
        <f t="shared" si="1"/>
        <v>2.0003125488357556</v>
      </c>
    </row>
    <row r="44" spans="1:3" ht="26" x14ac:dyDescent="0.3">
      <c r="A44" s="42">
        <v>41</v>
      </c>
      <c r="B44" s="43">
        <f t="shared" si="0"/>
        <v>1.0001487431206306</v>
      </c>
      <c r="C44" s="44">
        <f t="shared" si="1"/>
        <v>2.0002974862412612</v>
      </c>
    </row>
    <row r="45" spans="1:3" ht="26" x14ac:dyDescent="0.3">
      <c r="A45" s="42">
        <v>42</v>
      </c>
      <c r="B45" s="43">
        <f t="shared" si="0"/>
        <v>1.0001417434443658</v>
      </c>
      <c r="C45" s="44">
        <f t="shared" si="1"/>
        <v>2.0002834868887316</v>
      </c>
    </row>
    <row r="46" spans="1:3" ht="26" x14ac:dyDescent="0.3">
      <c r="A46" s="42">
        <v>43</v>
      </c>
      <c r="B46" s="43">
        <f t="shared" si="0"/>
        <v>1.0001352265043948</v>
      </c>
      <c r="C46" s="44">
        <f t="shared" si="1"/>
        <v>2.0002704530087896</v>
      </c>
    </row>
    <row r="47" spans="1:3" ht="26" x14ac:dyDescent="0.3">
      <c r="A47" s="42">
        <v>44</v>
      </c>
      <c r="B47" s="43">
        <f t="shared" si="0"/>
        <v>1.0001291489086916</v>
      </c>
      <c r="C47" s="44">
        <f t="shared" si="1"/>
        <v>2.0002582978173833</v>
      </c>
    </row>
    <row r="48" spans="1:3" ht="26" x14ac:dyDescent="0.3">
      <c r="A48" s="42">
        <v>45</v>
      </c>
      <c r="B48" s="43">
        <f t="shared" si="0"/>
        <v>1.0001234720335843</v>
      </c>
      <c r="C48" s="44">
        <f t="shared" si="1"/>
        <v>2.0002469440671686</v>
      </c>
    </row>
    <row r="49" spans="1:3" ht="26" x14ac:dyDescent="0.3">
      <c r="A49" s="42">
        <v>46</v>
      </c>
      <c r="B49" s="43">
        <f t="shared" si="0"/>
        <v>1.000118161408484</v>
      </c>
      <c r="C49" s="44">
        <f t="shared" si="1"/>
        <v>2.0002363228169679</v>
      </c>
    </row>
    <row r="50" spans="1:3" ht="26" x14ac:dyDescent="0.3">
      <c r="A50" s="42">
        <v>47</v>
      </c>
      <c r="B50" s="43">
        <f t="shared" si="0"/>
        <v>1.0001131861912846</v>
      </c>
      <c r="C50" s="44">
        <f t="shared" si="1"/>
        <v>2.0002263723825693</v>
      </c>
    </row>
    <row r="51" spans="1:3" ht="26" x14ac:dyDescent="0.3">
      <c r="A51" s="42">
        <v>48</v>
      </c>
      <c r="B51" s="43">
        <f t="shared" si="0"/>
        <v>1.0001085187194791</v>
      </c>
      <c r="C51" s="44">
        <f t="shared" si="1"/>
        <v>2.0002170374389583</v>
      </c>
    </row>
    <row r="52" spans="1:3" ht="26" x14ac:dyDescent="0.3">
      <c r="A52" s="42">
        <v>49</v>
      </c>
      <c r="B52" s="43">
        <f t="shared" si="0"/>
        <v>1.0001041341247527</v>
      </c>
      <c r="C52" s="44">
        <f t="shared" si="1"/>
        <v>2.0002082682495055</v>
      </c>
    </row>
    <row r="53" spans="1:3" ht="26" x14ac:dyDescent="0.3">
      <c r="A53" s="42">
        <v>50</v>
      </c>
      <c r="B53" s="43">
        <f t="shared" si="0"/>
        <v>1.000100010001</v>
      </c>
      <c r="C53" s="44">
        <f t="shared" si="1"/>
        <v>2.000200020002</v>
      </c>
    </row>
    <row r="54" spans="1:3" ht="26" x14ac:dyDescent="0.3">
      <c r="A54" s="42">
        <v>51</v>
      </c>
      <c r="B54" s="43">
        <f t="shared" si="0"/>
        <v>1.0000961261174661</v>
      </c>
      <c r="C54" s="44">
        <f t="shared" si="1"/>
        <v>2.0001922522349322</v>
      </c>
    </row>
    <row r="55" spans="1:3" ht="26" x14ac:dyDescent="0.3">
      <c r="A55" s="42">
        <v>52</v>
      </c>
      <c r="B55" s="43">
        <f t="shared" si="0"/>
        <v>1.0000924641701341</v>
      </c>
      <c r="C55" s="44">
        <f t="shared" si="1"/>
        <v>2.0001849283402682</v>
      </c>
    </row>
    <row r="56" spans="1:3" ht="26" x14ac:dyDescent="0.3">
      <c r="A56" s="42">
        <v>53</v>
      </c>
      <c r="B56" s="43">
        <f t="shared" si="0"/>
        <v>1.000089007565643</v>
      </c>
      <c r="C56" s="44">
        <f t="shared" si="1"/>
        <v>2.000178015131286</v>
      </c>
    </row>
    <row r="57" spans="1:3" ht="26" x14ac:dyDescent="0.3">
      <c r="A57" s="42">
        <v>54</v>
      </c>
      <c r="B57" s="43">
        <f t="shared" si="0"/>
        <v>1.0000857412329589</v>
      </c>
      <c r="C57" s="44">
        <f t="shared" si="1"/>
        <v>2.0001714824659178</v>
      </c>
    </row>
    <row r="58" spans="1:3" ht="26" x14ac:dyDescent="0.3">
      <c r="A58" s="42">
        <v>55</v>
      </c>
      <c r="B58" s="43">
        <f t="shared" si="0"/>
        <v>1.0000826514587982</v>
      </c>
      <c r="C58" s="44">
        <f t="shared" si="1"/>
        <v>2.0001653029175963</v>
      </c>
    </row>
    <row r="59" spans="1:3" ht="26" x14ac:dyDescent="0.3">
      <c r="A59" s="42">
        <v>56</v>
      </c>
      <c r="B59" s="43">
        <f t="shared" si="0"/>
        <v>1.0000797257434426</v>
      </c>
      <c r="C59" s="44">
        <f t="shared" si="1"/>
        <v>2.0001594514868852</v>
      </c>
    </row>
    <row r="60" spans="1:3" ht="26" x14ac:dyDescent="0.3">
      <c r="A60" s="42">
        <v>57</v>
      </c>
      <c r="B60" s="43">
        <f t="shared" si="0"/>
        <v>1.0000769526741053</v>
      </c>
      <c r="C60" s="44">
        <f t="shared" si="1"/>
        <v>2.0001539053482107</v>
      </c>
    </row>
    <row r="61" spans="1:3" ht="26" x14ac:dyDescent="0.3">
      <c r="A61" s="42">
        <v>58</v>
      </c>
      <c r="B61" s="43">
        <f t="shared" si="0"/>
        <v>1.0000743218134522</v>
      </c>
      <c r="C61" s="44">
        <f t="shared" si="1"/>
        <v>2.0001486436269045</v>
      </c>
    </row>
    <row r="62" spans="1:3" ht="26" x14ac:dyDescent="0.3">
      <c r="A62" s="42">
        <v>59</v>
      </c>
      <c r="B62" s="43">
        <f t="shared" si="0"/>
        <v>1.0000718236012354</v>
      </c>
      <c r="C62" s="44">
        <f t="shared" si="1"/>
        <v>2.0001436472024707</v>
      </c>
    </row>
    <row r="63" spans="1:3" ht="26" x14ac:dyDescent="0.3">
      <c r="A63" s="42">
        <v>60</v>
      </c>
      <c r="B63" s="43">
        <f t="shared" si="0"/>
        <v>1.0000694492673103</v>
      </c>
      <c r="C63" s="44">
        <f t="shared" si="1"/>
        <v>2.0001388985346207</v>
      </c>
    </row>
    <row r="64" spans="1:3" ht="26" x14ac:dyDescent="0.3">
      <c r="A64" s="42">
        <v>61</v>
      </c>
      <c r="B64" s="43">
        <f t="shared" si="0"/>
        <v>1.0000671907545522</v>
      </c>
      <c r="C64" s="44">
        <f t="shared" si="1"/>
        <v>2.0001343815091044</v>
      </c>
    </row>
    <row r="65" spans="1:3" ht="26" x14ac:dyDescent="0.3">
      <c r="A65" s="42">
        <v>62</v>
      </c>
      <c r="B65" s="43">
        <f t="shared" si="0"/>
        <v>1.0000650406504066</v>
      </c>
      <c r="C65" s="44">
        <f t="shared" si="1"/>
        <v>2.0001300813008132</v>
      </c>
    </row>
    <row r="66" spans="1:3" ht="26" x14ac:dyDescent="0.3">
      <c r="A66" s="42">
        <v>63</v>
      </c>
      <c r="B66" s="43">
        <f t="shared" si="0"/>
        <v>1.0000629921259843</v>
      </c>
      <c r="C66" s="44">
        <f t="shared" si="1"/>
        <v>2.0001259842519685</v>
      </c>
    </row>
    <row r="67" spans="1:3" ht="26" x14ac:dyDescent="0.3">
      <c r="A67" s="42">
        <v>64</v>
      </c>
      <c r="B67" s="43">
        <f t="shared" si="0"/>
        <v>1.0000610388817677</v>
      </c>
      <c r="C67" s="44">
        <f t="shared" si="1"/>
        <v>2.0001220777635353</v>
      </c>
    </row>
    <row r="68" spans="1:3" ht="26" x14ac:dyDescent="0.3">
      <c r="A68" s="42">
        <v>65</v>
      </c>
      <c r="B68" s="43">
        <f t="shared" si="0"/>
        <v>1.0000591750991183</v>
      </c>
      <c r="C68" s="44">
        <f t="shared" si="1"/>
        <v>2.0001183501982367</v>
      </c>
    </row>
    <row r="69" spans="1:3" ht="26" x14ac:dyDescent="0.3">
      <c r="A69" s="42">
        <v>66</v>
      </c>
      <c r="B69" s="43">
        <f t="shared" ref="B69:B87" si="2">(4*A69^2)/(4*A69^2-1)</f>
        <v>1.0000573953968892</v>
      </c>
      <c r="C69" s="44">
        <f t="shared" ref="C69:C87" si="3">B69*$B$3</f>
        <v>2.0001147907937784</v>
      </c>
    </row>
    <row r="70" spans="1:3" ht="26" x14ac:dyDescent="0.3">
      <c r="A70" s="42">
        <v>67</v>
      </c>
      <c r="B70" s="43">
        <f t="shared" si="2"/>
        <v>1.000055694792537</v>
      </c>
      <c r="C70" s="44">
        <f t="shared" si="3"/>
        <v>2.000111389585074</v>
      </c>
    </row>
    <row r="71" spans="1:3" ht="26" x14ac:dyDescent="0.3">
      <c r="A71" s="42">
        <v>68</v>
      </c>
      <c r="B71" s="43">
        <f t="shared" si="2"/>
        <v>1.0000540686672073</v>
      </c>
      <c r="C71" s="44">
        <f t="shared" si="3"/>
        <v>2.0001081373344145</v>
      </c>
    </row>
    <row r="72" spans="1:3" ht="26" x14ac:dyDescent="0.3">
      <c r="A72" s="42">
        <v>69</v>
      </c>
      <c r="B72" s="43">
        <f t="shared" si="2"/>
        <v>1.000052512734338</v>
      </c>
      <c r="C72" s="44">
        <f t="shared" si="3"/>
        <v>2.0001050254686761</v>
      </c>
    </row>
    <row r="73" spans="1:3" ht="26" x14ac:dyDescent="0.3">
      <c r="A73" s="42">
        <v>70</v>
      </c>
      <c r="B73" s="43">
        <f t="shared" si="2"/>
        <v>1.0000510230113782</v>
      </c>
      <c r="C73" s="44">
        <f t="shared" si="3"/>
        <v>2.0001020460227563</v>
      </c>
    </row>
    <row r="74" spans="1:3" ht="26" x14ac:dyDescent="0.3">
      <c r="A74" s="42">
        <v>71</v>
      </c>
      <c r="B74" s="43">
        <f t="shared" si="2"/>
        <v>1.0000495957942765</v>
      </c>
      <c r="C74" s="44">
        <f t="shared" si="3"/>
        <v>2.0000991915885531</v>
      </c>
    </row>
    <row r="75" spans="1:3" ht="26" x14ac:dyDescent="0.3">
      <c r="A75" s="42">
        <v>72</v>
      </c>
      <c r="B75" s="43">
        <f t="shared" si="2"/>
        <v>1.0000482276344345</v>
      </c>
      <c r="C75" s="44">
        <f t="shared" si="3"/>
        <v>2.0000964552688689</v>
      </c>
    </row>
    <row r="76" spans="1:3" ht="26" x14ac:dyDescent="0.3">
      <c r="A76" s="42">
        <v>73</v>
      </c>
      <c r="B76" s="43">
        <f t="shared" si="2"/>
        <v>1.0000469153178513</v>
      </c>
      <c r="C76" s="44">
        <f t="shared" si="3"/>
        <v>2.0000938306357026</v>
      </c>
    </row>
    <row r="77" spans="1:3" ht="26" x14ac:dyDescent="0.3">
      <c r="A77" s="42">
        <v>74</v>
      </c>
      <c r="B77" s="43">
        <f t="shared" si="2"/>
        <v>1.0000456558462312</v>
      </c>
      <c r="C77" s="44">
        <f t="shared" si="3"/>
        <v>2.0000913116924623</v>
      </c>
    </row>
    <row r="78" spans="1:3" ht="26" x14ac:dyDescent="0.3">
      <c r="A78" s="42">
        <v>75</v>
      </c>
      <c r="B78" s="43">
        <f t="shared" si="2"/>
        <v>1.0000444464198408</v>
      </c>
      <c r="C78" s="44">
        <f t="shared" si="3"/>
        <v>2.0000888928396816</v>
      </c>
    </row>
    <row r="79" spans="1:3" ht="26" x14ac:dyDescent="0.3">
      <c r="A79" s="42">
        <v>76</v>
      </c>
      <c r="B79" s="43">
        <f t="shared" si="2"/>
        <v>1.0000432844219365</v>
      </c>
      <c r="C79" s="44">
        <f t="shared" si="3"/>
        <v>2.0000865688438729</v>
      </c>
    </row>
    <row r="80" spans="1:3" ht="26" x14ac:dyDescent="0.3">
      <c r="A80" s="42">
        <v>77</v>
      </c>
      <c r="B80" s="43">
        <f t="shared" si="2"/>
        <v>1.0000421674045963</v>
      </c>
      <c r="C80" s="44">
        <f t="shared" si="3"/>
        <v>2.0000843348091926</v>
      </c>
    </row>
    <row r="81" spans="1:3" ht="26" x14ac:dyDescent="0.3">
      <c r="A81" s="42">
        <v>78</v>
      </c>
      <c r="B81" s="43">
        <f t="shared" si="2"/>
        <v>1.0000410930758168</v>
      </c>
      <c r="C81" s="44">
        <f t="shared" si="3"/>
        <v>2.0000821861516336</v>
      </c>
    </row>
    <row r="82" spans="1:3" ht="26" x14ac:dyDescent="0.3">
      <c r="A82" s="42">
        <v>79</v>
      </c>
      <c r="B82" s="43">
        <f t="shared" si="2"/>
        <v>1.0000400592877459</v>
      </c>
      <c r="C82" s="44">
        <f t="shared" si="3"/>
        <v>2.0000801185754917</v>
      </c>
    </row>
    <row r="83" spans="1:3" ht="26" x14ac:dyDescent="0.3">
      <c r="A83" s="42">
        <v>80</v>
      </c>
      <c r="B83" s="43">
        <f t="shared" si="2"/>
        <v>1.0000390640259385</v>
      </c>
      <c r="C83" s="44">
        <f t="shared" si="3"/>
        <v>2.0000781280518769</v>
      </c>
    </row>
    <row r="84" spans="1:3" ht="26" x14ac:dyDescent="0.3">
      <c r="A84" s="42">
        <v>81</v>
      </c>
      <c r="B84" s="43">
        <f t="shared" si="2"/>
        <v>1.0000381053995351</v>
      </c>
      <c r="C84" s="44">
        <f t="shared" si="3"/>
        <v>2.0000762107990702</v>
      </c>
    </row>
    <row r="85" spans="1:3" ht="26" x14ac:dyDescent="0.3">
      <c r="A85" s="42">
        <v>82</v>
      </c>
      <c r="B85" s="43">
        <f t="shared" si="2"/>
        <v>1.0000371816322737</v>
      </c>
      <c r="C85" s="44">
        <f t="shared" si="3"/>
        <v>2.0000743632645475</v>
      </c>
    </row>
    <row r="86" spans="1:3" ht="26" x14ac:dyDescent="0.3">
      <c r="A86" s="42">
        <v>83</v>
      </c>
      <c r="B86" s="43">
        <f t="shared" si="2"/>
        <v>1.0000362910542551</v>
      </c>
      <c r="C86" s="44">
        <f t="shared" si="3"/>
        <v>2.0000725821085101</v>
      </c>
    </row>
    <row r="87" spans="1:3" ht="26" x14ac:dyDescent="0.3">
      <c r="A87" s="45">
        <v>84</v>
      </c>
      <c r="B87" s="46">
        <f t="shared" si="2"/>
        <v>1.0000354320943912</v>
      </c>
      <c r="C87" s="47">
        <f t="shared" si="3"/>
        <v>2.0000708641887823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3477B-6071-C84C-8D6B-D46D8F1A9290}">
  <dimension ref="A2:D53"/>
  <sheetViews>
    <sheetView workbookViewId="0">
      <selection activeCell="F35" sqref="F35"/>
    </sheetView>
  </sheetViews>
  <sheetFormatPr baseColWidth="10" defaultRowHeight="15" x14ac:dyDescent="0.2"/>
  <cols>
    <col min="1" max="1" width="10.83203125" style="35"/>
    <col min="2" max="2" width="25.5" style="35" customWidth="1"/>
    <col min="3" max="3" width="28.5" style="35" customWidth="1"/>
    <col min="4" max="4" width="20.83203125" style="35" bestFit="1" customWidth="1"/>
    <col min="5" max="16384" width="10.83203125" style="38"/>
  </cols>
  <sheetData>
    <row r="2" spans="1:4" ht="24" x14ac:dyDescent="0.3">
      <c r="C2" s="48" t="s">
        <v>52</v>
      </c>
      <c r="D2" s="48" t="s">
        <v>53</v>
      </c>
    </row>
    <row r="3" spans="1:4" s="37" customFormat="1" ht="21" x14ac:dyDescent="0.25">
      <c r="A3" s="37" t="s">
        <v>7</v>
      </c>
      <c r="B3" s="37" t="s">
        <v>51</v>
      </c>
      <c r="C3" s="37" t="s">
        <v>54</v>
      </c>
      <c r="D3" s="37" t="s">
        <v>55</v>
      </c>
    </row>
    <row r="4" spans="1:4" x14ac:dyDescent="0.2">
      <c r="A4" s="35">
        <v>1</v>
      </c>
      <c r="B4" s="35">
        <f>((-1)^A4)/(2*A4+1)</f>
        <v>-0.33333333333333331</v>
      </c>
      <c r="C4" s="35">
        <f>B4+C3</f>
        <v>0.66666666666666674</v>
      </c>
      <c r="D4" s="35">
        <f>C4*$D$3</f>
        <v>2.666666666666667</v>
      </c>
    </row>
    <row r="5" spans="1:4" x14ac:dyDescent="0.2">
      <c r="A5" s="35">
        <v>2</v>
      </c>
      <c r="B5" s="35">
        <f t="shared" ref="B5:B53" si="0">((-1)^A5)/(2*A5+1)</f>
        <v>0.2</v>
      </c>
      <c r="C5" s="35">
        <f t="shared" ref="C5:C43" si="1">B5+C4</f>
        <v>0.8666666666666667</v>
      </c>
      <c r="D5" s="35">
        <f t="shared" ref="D5:D53" si="2">C5*$D$3</f>
        <v>3.4666666666666668</v>
      </c>
    </row>
    <row r="6" spans="1:4" x14ac:dyDescent="0.2">
      <c r="A6" s="35">
        <v>3</v>
      </c>
      <c r="B6" s="35">
        <f t="shared" si="0"/>
        <v>-0.14285714285714285</v>
      </c>
      <c r="C6" s="35">
        <f t="shared" si="1"/>
        <v>0.7238095238095239</v>
      </c>
      <c r="D6" s="35">
        <f t="shared" si="2"/>
        <v>2.8952380952380956</v>
      </c>
    </row>
    <row r="7" spans="1:4" x14ac:dyDescent="0.2">
      <c r="A7" s="35">
        <v>4</v>
      </c>
      <c r="B7" s="35">
        <f t="shared" si="0"/>
        <v>0.1111111111111111</v>
      </c>
      <c r="C7" s="35">
        <f t="shared" si="1"/>
        <v>0.83492063492063506</v>
      </c>
      <c r="D7" s="35">
        <f t="shared" si="2"/>
        <v>3.3396825396825403</v>
      </c>
    </row>
    <row r="8" spans="1:4" x14ac:dyDescent="0.2">
      <c r="A8" s="35">
        <v>5</v>
      </c>
      <c r="B8" s="35">
        <f t="shared" si="0"/>
        <v>-9.0909090909090912E-2</v>
      </c>
      <c r="C8" s="35">
        <f t="shared" si="1"/>
        <v>0.74401154401154412</v>
      </c>
      <c r="D8" s="35">
        <f t="shared" si="2"/>
        <v>2.9760461760461765</v>
      </c>
    </row>
    <row r="9" spans="1:4" x14ac:dyDescent="0.2">
      <c r="A9" s="35">
        <v>6</v>
      </c>
      <c r="B9" s="35">
        <f t="shared" si="0"/>
        <v>7.6923076923076927E-2</v>
      </c>
      <c r="C9" s="35">
        <f t="shared" si="1"/>
        <v>0.82093462093462111</v>
      </c>
      <c r="D9" s="35">
        <f t="shared" si="2"/>
        <v>3.2837384837384844</v>
      </c>
    </row>
    <row r="10" spans="1:4" x14ac:dyDescent="0.2">
      <c r="A10" s="35">
        <v>7</v>
      </c>
      <c r="B10" s="35">
        <f t="shared" si="0"/>
        <v>-6.6666666666666666E-2</v>
      </c>
      <c r="C10" s="35">
        <f t="shared" si="1"/>
        <v>0.75426795426795445</v>
      </c>
      <c r="D10" s="35">
        <f t="shared" si="2"/>
        <v>3.0170718170718178</v>
      </c>
    </row>
    <row r="11" spans="1:4" x14ac:dyDescent="0.2">
      <c r="A11" s="35">
        <v>8</v>
      </c>
      <c r="B11" s="35">
        <f t="shared" si="0"/>
        <v>5.8823529411764705E-2</v>
      </c>
      <c r="C11" s="35">
        <f t="shared" si="1"/>
        <v>0.81309148367971917</v>
      </c>
      <c r="D11" s="35">
        <f t="shared" si="2"/>
        <v>3.2523659347188767</v>
      </c>
    </row>
    <row r="12" spans="1:4" x14ac:dyDescent="0.2">
      <c r="A12" s="35">
        <v>9</v>
      </c>
      <c r="B12" s="35">
        <f t="shared" si="0"/>
        <v>-5.2631578947368418E-2</v>
      </c>
      <c r="C12" s="35">
        <f t="shared" si="1"/>
        <v>0.76045990473235081</v>
      </c>
      <c r="D12" s="35">
        <f t="shared" si="2"/>
        <v>3.0418396189294032</v>
      </c>
    </row>
    <row r="13" spans="1:4" x14ac:dyDescent="0.2">
      <c r="A13" s="35">
        <v>10</v>
      </c>
      <c r="B13" s="35">
        <f t="shared" si="0"/>
        <v>4.7619047619047616E-2</v>
      </c>
      <c r="C13" s="35">
        <f t="shared" si="1"/>
        <v>0.80807895235139848</v>
      </c>
      <c r="D13" s="35">
        <f t="shared" si="2"/>
        <v>3.2323158094055939</v>
      </c>
    </row>
    <row r="14" spans="1:4" x14ac:dyDescent="0.2">
      <c r="A14" s="35">
        <v>11</v>
      </c>
      <c r="B14" s="35">
        <f t="shared" si="0"/>
        <v>-4.3478260869565216E-2</v>
      </c>
      <c r="C14" s="35">
        <f t="shared" si="1"/>
        <v>0.76460069148183329</v>
      </c>
      <c r="D14" s="35">
        <f t="shared" si="2"/>
        <v>3.0584027659273332</v>
      </c>
    </row>
    <row r="15" spans="1:4" x14ac:dyDescent="0.2">
      <c r="A15" s="35">
        <v>12</v>
      </c>
      <c r="B15" s="35">
        <f t="shared" si="0"/>
        <v>0.04</v>
      </c>
      <c r="C15" s="35">
        <f t="shared" si="1"/>
        <v>0.80460069148183333</v>
      </c>
      <c r="D15" s="35">
        <f t="shared" si="2"/>
        <v>3.2184027659273333</v>
      </c>
    </row>
    <row r="16" spans="1:4" x14ac:dyDescent="0.2">
      <c r="A16" s="35">
        <v>13</v>
      </c>
      <c r="B16" s="35">
        <f t="shared" si="0"/>
        <v>-3.7037037037037035E-2</v>
      </c>
      <c r="C16" s="35">
        <f t="shared" si="1"/>
        <v>0.76756365444479635</v>
      </c>
      <c r="D16" s="35">
        <f t="shared" si="2"/>
        <v>3.0702546177791854</v>
      </c>
    </row>
    <row r="17" spans="1:4" x14ac:dyDescent="0.2">
      <c r="A17" s="35">
        <v>14</v>
      </c>
      <c r="B17" s="35">
        <f t="shared" si="0"/>
        <v>3.4482758620689655E-2</v>
      </c>
      <c r="C17" s="35">
        <f t="shared" si="1"/>
        <v>0.80204641306548596</v>
      </c>
      <c r="D17" s="35">
        <f t="shared" si="2"/>
        <v>3.2081856522619439</v>
      </c>
    </row>
    <row r="18" spans="1:4" x14ac:dyDescent="0.2">
      <c r="A18" s="35">
        <v>15</v>
      </c>
      <c r="B18" s="35">
        <f t="shared" si="0"/>
        <v>-3.2258064516129031E-2</v>
      </c>
      <c r="C18" s="35">
        <f t="shared" si="1"/>
        <v>0.76978834854935696</v>
      </c>
      <c r="D18" s="35">
        <f t="shared" si="2"/>
        <v>3.0791533941974278</v>
      </c>
    </row>
    <row r="19" spans="1:4" x14ac:dyDescent="0.2">
      <c r="A19" s="35">
        <v>16</v>
      </c>
      <c r="B19" s="35">
        <f t="shared" si="0"/>
        <v>3.0303030303030304E-2</v>
      </c>
      <c r="C19" s="35">
        <f t="shared" si="1"/>
        <v>0.80009137885238724</v>
      </c>
      <c r="D19" s="35">
        <f t="shared" si="2"/>
        <v>3.2003655154095489</v>
      </c>
    </row>
    <row r="20" spans="1:4" x14ac:dyDescent="0.2">
      <c r="A20" s="35">
        <v>17</v>
      </c>
      <c r="B20" s="35">
        <f t="shared" si="0"/>
        <v>-2.8571428571428571E-2</v>
      </c>
      <c r="C20" s="35">
        <f t="shared" si="1"/>
        <v>0.77151995028095866</v>
      </c>
      <c r="D20" s="35">
        <f t="shared" si="2"/>
        <v>3.0860798011238346</v>
      </c>
    </row>
    <row r="21" spans="1:4" x14ac:dyDescent="0.2">
      <c r="A21" s="35">
        <v>18</v>
      </c>
      <c r="B21" s="35">
        <f t="shared" si="0"/>
        <v>2.7027027027027029E-2</v>
      </c>
      <c r="C21" s="35">
        <f t="shared" si="1"/>
        <v>0.79854697730798563</v>
      </c>
      <c r="D21" s="35">
        <f t="shared" si="2"/>
        <v>3.1941879092319425</v>
      </c>
    </row>
    <row r="22" spans="1:4" x14ac:dyDescent="0.2">
      <c r="A22" s="35">
        <v>19</v>
      </c>
      <c r="B22" s="35">
        <f t="shared" si="0"/>
        <v>-2.564102564102564E-2</v>
      </c>
      <c r="C22" s="35">
        <f t="shared" si="1"/>
        <v>0.77290595166695997</v>
      </c>
      <c r="D22" s="35">
        <f t="shared" si="2"/>
        <v>3.0916238066678399</v>
      </c>
    </row>
    <row r="23" spans="1:4" x14ac:dyDescent="0.2">
      <c r="A23" s="35">
        <v>20</v>
      </c>
      <c r="B23" s="35">
        <f t="shared" si="0"/>
        <v>2.4390243902439025E-2</v>
      </c>
      <c r="C23" s="35">
        <f t="shared" si="1"/>
        <v>0.79729619556939901</v>
      </c>
      <c r="D23" s="35">
        <f t="shared" si="2"/>
        <v>3.1891847822775961</v>
      </c>
    </row>
    <row r="24" spans="1:4" x14ac:dyDescent="0.2">
      <c r="A24" s="35">
        <v>21</v>
      </c>
      <c r="B24" s="35">
        <f t="shared" si="0"/>
        <v>-2.3255813953488372E-2</v>
      </c>
      <c r="C24" s="35">
        <f t="shared" si="1"/>
        <v>0.7740403816159106</v>
      </c>
      <c r="D24" s="35">
        <f t="shared" si="2"/>
        <v>3.0961615264636424</v>
      </c>
    </row>
    <row r="25" spans="1:4" x14ac:dyDescent="0.2">
      <c r="A25" s="35">
        <v>22</v>
      </c>
      <c r="B25" s="35">
        <f t="shared" si="0"/>
        <v>2.2222222222222223E-2</v>
      </c>
      <c r="C25" s="35">
        <f t="shared" si="1"/>
        <v>0.79626260383813285</v>
      </c>
      <c r="D25" s="35">
        <f t="shared" si="2"/>
        <v>3.1850504153525314</v>
      </c>
    </row>
    <row r="26" spans="1:4" x14ac:dyDescent="0.2">
      <c r="A26" s="35">
        <v>23</v>
      </c>
      <c r="B26" s="35">
        <f t="shared" si="0"/>
        <v>-2.1276595744680851E-2</v>
      </c>
      <c r="C26" s="35">
        <f t="shared" si="1"/>
        <v>0.77498600809345197</v>
      </c>
      <c r="D26" s="35">
        <f t="shared" si="2"/>
        <v>3.0999440323738079</v>
      </c>
    </row>
    <row r="27" spans="1:4" x14ac:dyDescent="0.2">
      <c r="A27" s="35">
        <v>24</v>
      </c>
      <c r="B27" s="35">
        <f t="shared" si="0"/>
        <v>2.0408163265306121E-2</v>
      </c>
      <c r="C27" s="35">
        <f t="shared" si="1"/>
        <v>0.79539417135875812</v>
      </c>
      <c r="D27" s="35">
        <f t="shared" si="2"/>
        <v>3.1815766854350325</v>
      </c>
    </row>
    <row r="28" spans="1:4" x14ac:dyDescent="0.2">
      <c r="A28" s="35">
        <v>25</v>
      </c>
      <c r="B28" s="35">
        <f t="shared" si="0"/>
        <v>-1.9607843137254902E-2</v>
      </c>
      <c r="C28" s="35">
        <f t="shared" si="1"/>
        <v>0.77578632822150317</v>
      </c>
      <c r="D28" s="35">
        <f t="shared" si="2"/>
        <v>3.1031453128860127</v>
      </c>
    </row>
    <row r="29" spans="1:4" x14ac:dyDescent="0.2">
      <c r="A29" s="35">
        <v>26</v>
      </c>
      <c r="B29" s="35">
        <f t="shared" si="0"/>
        <v>1.8867924528301886E-2</v>
      </c>
      <c r="C29" s="35">
        <f t="shared" si="1"/>
        <v>0.79465425274980506</v>
      </c>
      <c r="D29" s="35">
        <f t="shared" si="2"/>
        <v>3.1786170109992202</v>
      </c>
    </row>
    <row r="30" spans="1:4" x14ac:dyDescent="0.2">
      <c r="A30" s="35">
        <v>27</v>
      </c>
      <c r="B30" s="35">
        <f t="shared" si="0"/>
        <v>-1.8181818181818181E-2</v>
      </c>
      <c r="C30" s="35">
        <f t="shared" si="1"/>
        <v>0.77647243456798687</v>
      </c>
      <c r="D30" s="35">
        <f t="shared" si="2"/>
        <v>3.1058897382719475</v>
      </c>
    </row>
    <row r="31" spans="1:4" x14ac:dyDescent="0.2">
      <c r="A31" s="35">
        <v>28</v>
      </c>
      <c r="B31" s="35">
        <f t="shared" si="0"/>
        <v>1.7543859649122806E-2</v>
      </c>
      <c r="C31" s="35">
        <f t="shared" si="1"/>
        <v>0.79401629421710962</v>
      </c>
      <c r="D31" s="35">
        <f t="shared" si="2"/>
        <v>3.1760651768684385</v>
      </c>
    </row>
    <row r="32" spans="1:4" x14ac:dyDescent="0.2">
      <c r="A32" s="35">
        <v>29</v>
      </c>
      <c r="B32" s="35">
        <f t="shared" si="0"/>
        <v>-1.6949152542372881E-2</v>
      </c>
      <c r="C32" s="35">
        <f t="shared" si="1"/>
        <v>0.77706714167473678</v>
      </c>
      <c r="D32" s="35">
        <f t="shared" si="2"/>
        <v>3.1082685666989471</v>
      </c>
    </row>
    <row r="33" spans="1:4" x14ac:dyDescent="0.2">
      <c r="A33" s="35">
        <v>30</v>
      </c>
      <c r="B33" s="35">
        <f t="shared" si="0"/>
        <v>1.6393442622950821E-2</v>
      </c>
      <c r="C33" s="35">
        <f t="shared" si="1"/>
        <v>0.79346058429768762</v>
      </c>
      <c r="D33" s="35">
        <f t="shared" si="2"/>
        <v>3.1738423371907505</v>
      </c>
    </row>
    <row r="34" spans="1:4" x14ac:dyDescent="0.2">
      <c r="A34" s="35">
        <v>31</v>
      </c>
      <c r="B34" s="35">
        <f t="shared" si="0"/>
        <v>-1.5873015873015872E-2</v>
      </c>
      <c r="C34" s="35">
        <f t="shared" si="1"/>
        <v>0.7775875684246718</v>
      </c>
      <c r="D34" s="35">
        <f t="shared" si="2"/>
        <v>3.1103502736986872</v>
      </c>
    </row>
    <row r="35" spans="1:4" x14ac:dyDescent="0.2">
      <c r="A35" s="35">
        <v>32</v>
      </c>
      <c r="B35" s="35">
        <f t="shared" si="0"/>
        <v>1.5384615384615385E-2</v>
      </c>
      <c r="C35" s="35">
        <f t="shared" si="1"/>
        <v>0.79297218380928713</v>
      </c>
      <c r="D35" s="35">
        <f t="shared" si="2"/>
        <v>3.1718887352371485</v>
      </c>
    </row>
    <row r="36" spans="1:4" x14ac:dyDescent="0.2">
      <c r="A36" s="35">
        <v>33</v>
      </c>
      <c r="B36" s="35">
        <f t="shared" si="0"/>
        <v>-1.4925373134328358E-2</v>
      </c>
      <c r="C36" s="35">
        <f t="shared" si="1"/>
        <v>0.77804681067495873</v>
      </c>
      <c r="D36" s="35">
        <f t="shared" si="2"/>
        <v>3.1121872426998349</v>
      </c>
    </row>
    <row r="37" spans="1:4" x14ac:dyDescent="0.2">
      <c r="A37" s="35">
        <v>34</v>
      </c>
      <c r="B37" s="35">
        <f t="shared" si="0"/>
        <v>1.4492753623188406E-2</v>
      </c>
      <c r="C37" s="35">
        <f t="shared" si="1"/>
        <v>0.79253956429814709</v>
      </c>
      <c r="D37" s="35">
        <f t="shared" si="2"/>
        <v>3.1701582571925884</v>
      </c>
    </row>
    <row r="38" spans="1:4" x14ac:dyDescent="0.2">
      <c r="A38" s="35">
        <v>35</v>
      </c>
      <c r="B38" s="35">
        <f t="shared" si="0"/>
        <v>-1.4084507042253521E-2</v>
      </c>
      <c r="C38" s="35">
        <f t="shared" si="1"/>
        <v>0.77845505725589359</v>
      </c>
      <c r="D38" s="35">
        <f t="shared" si="2"/>
        <v>3.1138202290235744</v>
      </c>
    </row>
    <row r="39" spans="1:4" x14ac:dyDescent="0.2">
      <c r="A39" s="35">
        <v>36</v>
      </c>
      <c r="B39" s="35">
        <f t="shared" si="0"/>
        <v>1.3698630136986301E-2</v>
      </c>
      <c r="C39" s="35">
        <f t="shared" si="1"/>
        <v>0.79215368739287984</v>
      </c>
      <c r="D39" s="35">
        <f t="shared" si="2"/>
        <v>3.1686147495715193</v>
      </c>
    </row>
    <row r="40" spans="1:4" x14ac:dyDescent="0.2">
      <c r="A40" s="35">
        <v>37</v>
      </c>
      <c r="B40" s="35">
        <f t="shared" si="0"/>
        <v>-1.3333333333333334E-2</v>
      </c>
      <c r="C40" s="35">
        <f t="shared" si="1"/>
        <v>0.77882035405954653</v>
      </c>
      <c r="D40" s="35">
        <f t="shared" si="2"/>
        <v>3.1152814162381861</v>
      </c>
    </row>
    <row r="41" spans="1:4" x14ac:dyDescent="0.2">
      <c r="A41" s="35">
        <v>38</v>
      </c>
      <c r="B41" s="35">
        <f t="shared" si="0"/>
        <v>1.2987012987012988E-2</v>
      </c>
      <c r="C41" s="35">
        <f t="shared" si="1"/>
        <v>0.79180736704655952</v>
      </c>
      <c r="D41" s="35">
        <f t="shared" si="2"/>
        <v>3.1672294681862381</v>
      </c>
    </row>
    <row r="42" spans="1:4" x14ac:dyDescent="0.2">
      <c r="A42" s="35">
        <v>39</v>
      </c>
      <c r="B42" s="35">
        <f t="shared" si="0"/>
        <v>-1.2658227848101266E-2</v>
      </c>
      <c r="C42" s="35">
        <f t="shared" si="1"/>
        <v>0.7791491391984583</v>
      </c>
      <c r="D42" s="35">
        <f t="shared" si="2"/>
        <v>3.1165965567938332</v>
      </c>
    </row>
    <row r="43" spans="1:4" x14ac:dyDescent="0.2">
      <c r="A43" s="35">
        <v>40</v>
      </c>
      <c r="B43" s="35">
        <f t="shared" si="0"/>
        <v>1.2345679012345678E-2</v>
      </c>
      <c r="C43" s="35">
        <f t="shared" si="1"/>
        <v>0.79149481821080392</v>
      </c>
      <c r="D43" s="35">
        <f t="shared" si="2"/>
        <v>3.1659792728432157</v>
      </c>
    </row>
    <row r="44" spans="1:4" x14ac:dyDescent="0.2">
      <c r="A44" s="35">
        <v>41</v>
      </c>
      <c r="B44" s="35">
        <f t="shared" si="0"/>
        <v>-1.2048192771084338E-2</v>
      </c>
      <c r="C44" s="35">
        <f t="shared" ref="C44:C53" si="3">B44+C43</f>
        <v>0.77944662543971954</v>
      </c>
      <c r="D44" s="35">
        <f t="shared" si="2"/>
        <v>3.1177865017588782</v>
      </c>
    </row>
    <row r="45" spans="1:4" x14ac:dyDescent="0.2">
      <c r="A45" s="35">
        <v>42</v>
      </c>
      <c r="B45" s="35">
        <f t="shared" si="0"/>
        <v>1.1764705882352941E-2</v>
      </c>
      <c r="C45" s="35">
        <f t="shared" si="3"/>
        <v>0.79121133132207244</v>
      </c>
      <c r="D45" s="35">
        <f t="shared" si="2"/>
        <v>3.1648453252882898</v>
      </c>
    </row>
    <row r="46" spans="1:4" x14ac:dyDescent="0.2">
      <c r="A46" s="35">
        <v>43</v>
      </c>
      <c r="B46" s="35">
        <f t="shared" si="0"/>
        <v>-1.1494252873563218E-2</v>
      </c>
      <c r="C46" s="35">
        <f t="shared" si="3"/>
        <v>0.77971707844850924</v>
      </c>
      <c r="D46" s="35">
        <f t="shared" si="2"/>
        <v>3.118868313794037</v>
      </c>
    </row>
    <row r="47" spans="1:4" x14ac:dyDescent="0.2">
      <c r="A47" s="35">
        <v>44</v>
      </c>
      <c r="B47" s="35">
        <f t="shared" si="0"/>
        <v>1.1235955056179775E-2</v>
      </c>
      <c r="C47" s="35">
        <f t="shared" si="3"/>
        <v>0.79095303350468904</v>
      </c>
      <c r="D47" s="35">
        <f t="shared" si="2"/>
        <v>3.1638121340187562</v>
      </c>
    </row>
    <row r="48" spans="1:4" x14ac:dyDescent="0.2">
      <c r="A48" s="35">
        <v>45</v>
      </c>
      <c r="B48" s="35">
        <f t="shared" si="0"/>
        <v>-1.098901098901099E-2</v>
      </c>
      <c r="C48" s="35">
        <f t="shared" si="3"/>
        <v>0.77996402251567809</v>
      </c>
      <c r="D48" s="35">
        <f t="shared" si="2"/>
        <v>3.1198560900627124</v>
      </c>
    </row>
    <row r="49" spans="1:4" x14ac:dyDescent="0.2">
      <c r="A49" s="35">
        <v>46</v>
      </c>
      <c r="B49" s="35">
        <f t="shared" si="0"/>
        <v>1.0752688172043012E-2</v>
      </c>
      <c r="C49" s="35">
        <f t="shared" si="3"/>
        <v>0.79071671068772109</v>
      </c>
      <c r="D49" s="35">
        <f t="shared" si="2"/>
        <v>3.1628668427508844</v>
      </c>
    </row>
    <row r="50" spans="1:4" x14ac:dyDescent="0.2">
      <c r="A50" s="35">
        <v>47</v>
      </c>
      <c r="B50" s="35">
        <f t="shared" si="0"/>
        <v>-1.0526315789473684E-2</v>
      </c>
      <c r="C50" s="35">
        <f t="shared" si="3"/>
        <v>0.78019039489824737</v>
      </c>
      <c r="D50" s="35">
        <f t="shared" si="2"/>
        <v>3.1207615795929895</v>
      </c>
    </row>
    <row r="51" spans="1:4" x14ac:dyDescent="0.2">
      <c r="A51" s="35">
        <v>48</v>
      </c>
      <c r="B51" s="35">
        <f t="shared" si="0"/>
        <v>1.0309278350515464E-2</v>
      </c>
      <c r="C51" s="35">
        <f t="shared" si="3"/>
        <v>0.7904996732487628</v>
      </c>
      <c r="D51" s="35">
        <f t="shared" si="2"/>
        <v>3.1619986929950512</v>
      </c>
    </row>
    <row r="52" spans="1:4" x14ac:dyDescent="0.2">
      <c r="A52" s="35">
        <v>49</v>
      </c>
      <c r="B52" s="35">
        <f t="shared" si="0"/>
        <v>-1.0101010101010102E-2</v>
      </c>
      <c r="C52" s="35">
        <f t="shared" si="3"/>
        <v>0.78039866314775275</v>
      </c>
      <c r="D52" s="35">
        <f t="shared" si="2"/>
        <v>3.121594652591011</v>
      </c>
    </row>
    <row r="53" spans="1:4" x14ac:dyDescent="0.2">
      <c r="A53" s="35">
        <v>50</v>
      </c>
      <c r="B53" s="35">
        <f t="shared" si="0"/>
        <v>9.9009900990099011E-3</v>
      </c>
      <c r="C53" s="35">
        <f t="shared" si="3"/>
        <v>0.79029965324676266</v>
      </c>
      <c r="D53" s="35">
        <f t="shared" si="2"/>
        <v>3.1611986129870506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79536-5B66-214C-B48D-C38013CB6BC0}">
  <dimension ref="A2:D87"/>
  <sheetViews>
    <sheetView workbookViewId="0">
      <selection activeCell="G9" sqref="G9"/>
    </sheetView>
  </sheetViews>
  <sheetFormatPr baseColWidth="10" defaultRowHeight="15" x14ac:dyDescent="0.2"/>
  <cols>
    <col min="1" max="1" width="10.83203125" style="35"/>
    <col min="2" max="2" width="25.5" style="35" customWidth="1"/>
    <col min="3" max="3" width="23.83203125" style="35" customWidth="1"/>
    <col min="4" max="4" width="34.83203125" style="35" customWidth="1"/>
    <col min="5" max="16384" width="10.83203125" style="38"/>
  </cols>
  <sheetData>
    <row r="2" spans="1:4" ht="24" x14ac:dyDescent="0.3">
      <c r="C2" s="48" t="s">
        <v>52</v>
      </c>
      <c r="D2" s="48" t="s">
        <v>53</v>
      </c>
    </row>
    <row r="3" spans="1:4" s="37" customFormat="1" ht="21" x14ac:dyDescent="0.25">
      <c r="A3" s="50" t="s">
        <v>7</v>
      </c>
      <c r="B3" s="51" t="s">
        <v>51</v>
      </c>
      <c r="C3" s="51" t="s">
        <v>54</v>
      </c>
      <c r="D3" s="52" t="s">
        <v>49</v>
      </c>
    </row>
    <row r="4" spans="1:4" x14ac:dyDescent="0.2">
      <c r="A4" s="53">
        <v>1</v>
      </c>
      <c r="B4" s="54">
        <f>((2^A4)*((FACT(A4)^2)))/(FACT(2*A4+1))</f>
        <v>0.33333333333333331</v>
      </c>
      <c r="C4" s="54">
        <f>B4+C3</f>
        <v>1.3333333333333333</v>
      </c>
      <c r="D4" s="55">
        <f>C4*$D$3</f>
        <v>2.6666666666666665</v>
      </c>
    </row>
    <row r="5" spans="1:4" x14ac:dyDescent="0.2">
      <c r="A5" s="53">
        <v>2</v>
      </c>
      <c r="B5" s="54">
        <f t="shared" ref="B5:B41" si="0">((2^A5)*((FACT(A5)^2)))/(FACT(2*A5+1))</f>
        <v>0.13333333333333333</v>
      </c>
      <c r="C5" s="54">
        <f t="shared" ref="C5:C68" si="1">B5+C4</f>
        <v>1.4666666666666666</v>
      </c>
      <c r="D5" s="55">
        <f t="shared" ref="D5:D68" si="2">C5*$D$3</f>
        <v>2.9333333333333331</v>
      </c>
    </row>
    <row r="6" spans="1:4" x14ac:dyDescent="0.2">
      <c r="A6" s="53">
        <v>3</v>
      </c>
      <c r="B6" s="54">
        <f t="shared" si="0"/>
        <v>5.7142857142857141E-2</v>
      </c>
      <c r="C6" s="54">
        <f t="shared" si="1"/>
        <v>1.5238095238095237</v>
      </c>
      <c r="D6" s="55">
        <f t="shared" si="2"/>
        <v>3.0476190476190474</v>
      </c>
    </row>
    <row r="7" spans="1:4" x14ac:dyDescent="0.2">
      <c r="A7" s="53">
        <v>4</v>
      </c>
      <c r="B7" s="54">
        <f t="shared" si="0"/>
        <v>2.5396825396825397E-2</v>
      </c>
      <c r="C7" s="54">
        <f t="shared" si="1"/>
        <v>1.549206349206349</v>
      </c>
      <c r="D7" s="55">
        <f t="shared" si="2"/>
        <v>3.0984126984126981</v>
      </c>
    </row>
    <row r="8" spans="1:4" x14ac:dyDescent="0.2">
      <c r="A8" s="53">
        <v>5</v>
      </c>
      <c r="B8" s="54">
        <f t="shared" si="0"/>
        <v>1.1544011544011544E-2</v>
      </c>
      <c r="C8" s="54">
        <f t="shared" si="1"/>
        <v>1.5607503607503606</v>
      </c>
      <c r="D8" s="55">
        <f t="shared" si="2"/>
        <v>3.1215007215007211</v>
      </c>
    </row>
    <row r="9" spans="1:4" x14ac:dyDescent="0.2">
      <c r="A9" s="53">
        <v>6</v>
      </c>
      <c r="B9" s="54">
        <f t="shared" si="0"/>
        <v>5.328005328005328E-3</v>
      </c>
      <c r="C9" s="54">
        <f t="shared" si="1"/>
        <v>1.5660783660783659</v>
      </c>
      <c r="D9" s="55">
        <f t="shared" si="2"/>
        <v>3.1321567321567318</v>
      </c>
    </row>
    <row r="10" spans="1:4" x14ac:dyDescent="0.2">
      <c r="A10" s="53">
        <v>7</v>
      </c>
      <c r="B10" s="54">
        <f t="shared" si="0"/>
        <v>2.4864024864024864E-3</v>
      </c>
      <c r="C10" s="54">
        <f t="shared" si="1"/>
        <v>1.5685647685647683</v>
      </c>
      <c r="D10" s="55">
        <f t="shared" si="2"/>
        <v>3.1371295371295367</v>
      </c>
    </row>
    <row r="11" spans="1:4" x14ac:dyDescent="0.2">
      <c r="A11" s="53">
        <v>8</v>
      </c>
      <c r="B11" s="54">
        <f t="shared" si="0"/>
        <v>1.1700717583070525E-3</v>
      </c>
      <c r="C11" s="54">
        <f t="shared" si="1"/>
        <v>1.5697348403230753</v>
      </c>
      <c r="D11" s="55">
        <f t="shared" si="2"/>
        <v>3.1394696806461506</v>
      </c>
    </row>
    <row r="12" spans="1:4" x14ac:dyDescent="0.2">
      <c r="A12" s="53">
        <v>9</v>
      </c>
      <c r="B12" s="54">
        <f t="shared" si="0"/>
        <v>5.5424451709281427E-4</v>
      </c>
      <c r="C12" s="54">
        <f t="shared" si="1"/>
        <v>1.570289084840168</v>
      </c>
      <c r="D12" s="55">
        <f t="shared" si="2"/>
        <v>3.1405781696803361</v>
      </c>
    </row>
    <row r="13" spans="1:4" x14ac:dyDescent="0.2">
      <c r="A13" s="53">
        <v>10</v>
      </c>
      <c r="B13" s="54">
        <f t="shared" si="0"/>
        <v>2.6392596052038776E-4</v>
      </c>
      <c r="C13" s="54">
        <f t="shared" si="1"/>
        <v>1.5705530108006884</v>
      </c>
      <c r="D13" s="55">
        <f t="shared" si="2"/>
        <v>3.1411060216013769</v>
      </c>
    </row>
    <row r="14" spans="1:4" x14ac:dyDescent="0.2">
      <c r="A14" s="53">
        <v>11</v>
      </c>
      <c r="B14" s="54">
        <f t="shared" si="0"/>
        <v>1.2622545937931588E-4</v>
      </c>
      <c r="C14" s="54">
        <f t="shared" si="1"/>
        <v>1.5706792362600677</v>
      </c>
      <c r="D14" s="55">
        <f t="shared" si="2"/>
        <v>3.1413584725201353</v>
      </c>
    </row>
    <row r="15" spans="1:4" x14ac:dyDescent="0.2">
      <c r="A15" s="53">
        <v>12</v>
      </c>
      <c r="B15" s="54">
        <f t="shared" si="0"/>
        <v>6.0588220502071636E-5</v>
      </c>
      <c r="C15" s="54">
        <f t="shared" si="1"/>
        <v>1.5707398244805697</v>
      </c>
      <c r="D15" s="55">
        <f t="shared" si="2"/>
        <v>3.1414796489611394</v>
      </c>
    </row>
    <row r="16" spans="1:4" x14ac:dyDescent="0.2">
      <c r="A16" s="53">
        <v>13</v>
      </c>
      <c r="B16" s="54">
        <f t="shared" si="0"/>
        <v>2.9172106167664119E-5</v>
      </c>
      <c r="C16" s="54">
        <f t="shared" si="1"/>
        <v>1.5707689965867373</v>
      </c>
      <c r="D16" s="55">
        <f t="shared" si="2"/>
        <v>3.1415379931734746</v>
      </c>
    </row>
    <row r="17" spans="1:4" x14ac:dyDescent="0.2">
      <c r="A17" s="53">
        <v>14</v>
      </c>
      <c r="B17" s="54">
        <f t="shared" si="0"/>
        <v>1.4083085736113713E-5</v>
      </c>
      <c r="C17" s="54">
        <f t="shared" si="1"/>
        <v>1.5707830796724733</v>
      </c>
      <c r="D17" s="55">
        <f t="shared" si="2"/>
        <v>3.1415661593449467</v>
      </c>
    </row>
    <row r="18" spans="1:4" x14ac:dyDescent="0.2">
      <c r="A18" s="53">
        <v>15</v>
      </c>
      <c r="B18" s="54">
        <f t="shared" si="0"/>
        <v>6.8143963239259889E-6</v>
      </c>
      <c r="C18" s="54">
        <f t="shared" si="1"/>
        <v>1.5707898940687972</v>
      </c>
      <c r="D18" s="55">
        <f t="shared" si="2"/>
        <v>3.1415797881375944</v>
      </c>
    </row>
    <row r="19" spans="1:4" x14ac:dyDescent="0.2">
      <c r="A19" s="53">
        <v>16</v>
      </c>
      <c r="B19" s="54">
        <f t="shared" si="0"/>
        <v>3.3039497328126E-6</v>
      </c>
      <c r="C19" s="54">
        <f t="shared" si="1"/>
        <v>1.5707931980185301</v>
      </c>
      <c r="D19" s="55">
        <f t="shared" si="2"/>
        <v>3.1415863960370602</v>
      </c>
    </row>
    <row r="20" spans="1:4" x14ac:dyDescent="0.2">
      <c r="A20" s="53">
        <v>17</v>
      </c>
      <c r="B20" s="54">
        <f t="shared" si="0"/>
        <v>1.6047755845089777E-6</v>
      </c>
      <c r="C20" s="54">
        <f t="shared" si="1"/>
        <v>1.5707948027941145</v>
      </c>
      <c r="D20" s="55">
        <f t="shared" si="2"/>
        <v>3.1415896055882291</v>
      </c>
    </row>
    <row r="21" spans="1:4" x14ac:dyDescent="0.2">
      <c r="A21" s="53">
        <v>18</v>
      </c>
      <c r="B21" s="54">
        <f t="shared" si="0"/>
        <v>7.8070163570707017E-7</v>
      </c>
      <c r="C21" s="54">
        <f t="shared" si="1"/>
        <v>1.5707955834957503</v>
      </c>
      <c r="D21" s="55">
        <f t="shared" si="2"/>
        <v>3.1415911669915006</v>
      </c>
    </row>
    <row r="22" spans="1:4" x14ac:dyDescent="0.2">
      <c r="A22" s="53">
        <v>19</v>
      </c>
      <c r="B22" s="54">
        <f t="shared" si="0"/>
        <v>3.8034182252395719E-7</v>
      </c>
      <c r="C22" s="54">
        <f t="shared" si="1"/>
        <v>1.5707959638375728</v>
      </c>
      <c r="D22" s="55">
        <f t="shared" si="2"/>
        <v>3.1415919276751456</v>
      </c>
    </row>
    <row r="23" spans="1:4" x14ac:dyDescent="0.2">
      <c r="A23" s="53">
        <v>20</v>
      </c>
      <c r="B23" s="54">
        <f t="shared" si="0"/>
        <v>1.8553259635314994E-7</v>
      </c>
      <c r="C23" s="54">
        <f t="shared" si="1"/>
        <v>1.5707961493701692</v>
      </c>
      <c r="D23" s="55">
        <f t="shared" si="2"/>
        <v>3.1415922987403384</v>
      </c>
    </row>
    <row r="24" spans="1:4" x14ac:dyDescent="0.2">
      <c r="A24" s="53">
        <v>21</v>
      </c>
      <c r="B24" s="54">
        <f t="shared" si="0"/>
        <v>9.0608942405026673E-8</v>
      </c>
      <c r="C24" s="54">
        <f t="shared" si="1"/>
        <v>1.5707962399791116</v>
      </c>
      <c r="D24" s="55">
        <f t="shared" si="2"/>
        <v>3.1415924799582231</v>
      </c>
    </row>
    <row r="25" spans="1:4" x14ac:dyDescent="0.2">
      <c r="A25" s="53">
        <v>22</v>
      </c>
      <c r="B25" s="54">
        <f t="shared" si="0"/>
        <v>4.4297705175790822E-8</v>
      </c>
      <c r="C25" s="54">
        <f t="shared" si="1"/>
        <v>1.5707962842768168</v>
      </c>
      <c r="D25" s="55">
        <f t="shared" si="2"/>
        <v>3.1415925685536337</v>
      </c>
    </row>
    <row r="26" spans="1:4" x14ac:dyDescent="0.2">
      <c r="A26" s="53">
        <v>23</v>
      </c>
      <c r="B26" s="54">
        <f t="shared" si="0"/>
        <v>2.1677600405174229E-8</v>
      </c>
      <c r="C26" s="54">
        <f t="shared" si="1"/>
        <v>1.5707963059544172</v>
      </c>
      <c r="D26" s="55">
        <f t="shared" si="2"/>
        <v>3.1415926119088344</v>
      </c>
    </row>
    <row r="27" spans="1:4" x14ac:dyDescent="0.2">
      <c r="A27" s="53">
        <v>24</v>
      </c>
      <c r="B27" s="54">
        <f t="shared" si="0"/>
        <v>1.0617600198452679E-8</v>
      </c>
      <c r="C27" s="54">
        <f t="shared" si="1"/>
        <v>1.5707963165720173</v>
      </c>
      <c r="D27" s="55">
        <f t="shared" si="2"/>
        <v>3.1415926331440347</v>
      </c>
    </row>
    <row r="28" spans="1:4" x14ac:dyDescent="0.2">
      <c r="A28" s="53">
        <v>25</v>
      </c>
      <c r="B28" s="54">
        <f t="shared" si="0"/>
        <v>5.2047059796336709E-9</v>
      </c>
      <c r="C28" s="54">
        <f t="shared" si="1"/>
        <v>1.5707963217767233</v>
      </c>
      <c r="D28" s="55">
        <f t="shared" si="2"/>
        <v>3.1415926435534467</v>
      </c>
    </row>
    <row r="29" spans="1:4" x14ac:dyDescent="0.2">
      <c r="A29" s="53">
        <v>26</v>
      </c>
      <c r="B29" s="54">
        <f t="shared" si="0"/>
        <v>2.553251990008972E-9</v>
      </c>
      <c r="C29" s="54">
        <f t="shared" si="1"/>
        <v>1.5707963243299754</v>
      </c>
      <c r="D29" s="55">
        <f t="shared" si="2"/>
        <v>3.1415926486599508</v>
      </c>
    </row>
    <row r="30" spans="1:4" x14ac:dyDescent="0.2">
      <c r="A30" s="53">
        <v>27</v>
      </c>
      <c r="B30" s="54">
        <f t="shared" si="0"/>
        <v>1.2534146132771318E-9</v>
      </c>
      <c r="C30" s="54">
        <f t="shared" si="1"/>
        <v>1.5707963255833901</v>
      </c>
      <c r="D30" s="55">
        <f t="shared" si="2"/>
        <v>3.1415926511667802</v>
      </c>
    </row>
    <row r="31" spans="1:4" x14ac:dyDescent="0.2">
      <c r="A31" s="53">
        <v>28</v>
      </c>
      <c r="B31" s="54">
        <f t="shared" si="0"/>
        <v>6.1571244160981822E-10</v>
      </c>
      <c r="C31" s="54">
        <f t="shared" si="1"/>
        <v>1.5707963261991025</v>
      </c>
      <c r="D31" s="55">
        <f t="shared" si="2"/>
        <v>3.141592652398205</v>
      </c>
    </row>
    <row r="32" spans="1:4" x14ac:dyDescent="0.2">
      <c r="A32" s="53">
        <v>29</v>
      </c>
      <c r="B32" s="54">
        <f t="shared" si="0"/>
        <v>3.026383187573684E-10</v>
      </c>
      <c r="C32" s="54">
        <f t="shared" si="1"/>
        <v>1.5707963265017408</v>
      </c>
      <c r="D32" s="55">
        <f t="shared" si="2"/>
        <v>3.1415926530034817</v>
      </c>
    </row>
    <row r="33" spans="1:4" x14ac:dyDescent="0.2">
      <c r="A33" s="53">
        <v>30</v>
      </c>
      <c r="B33" s="54">
        <f t="shared" si="0"/>
        <v>1.488385174216567E-10</v>
      </c>
      <c r="C33" s="54">
        <f t="shared" si="1"/>
        <v>1.5707963266505793</v>
      </c>
      <c r="D33" s="55">
        <f t="shared" si="2"/>
        <v>3.1415926533011587</v>
      </c>
    </row>
    <row r="34" spans="1:4" x14ac:dyDescent="0.2">
      <c r="A34" s="53">
        <v>31</v>
      </c>
      <c r="B34" s="54">
        <f t="shared" si="0"/>
        <v>7.3238000636053287E-11</v>
      </c>
      <c r="C34" s="54">
        <f t="shared" si="1"/>
        <v>1.5707963267238174</v>
      </c>
      <c r="D34" s="55">
        <f t="shared" si="2"/>
        <v>3.1415926534476348</v>
      </c>
    </row>
    <row r="35" spans="1:4" x14ac:dyDescent="0.2">
      <c r="A35" s="53">
        <v>32</v>
      </c>
      <c r="B35" s="54">
        <f t="shared" si="0"/>
        <v>3.6055631082364688E-11</v>
      </c>
      <c r="C35" s="54">
        <f t="shared" si="1"/>
        <v>1.570796326759873</v>
      </c>
      <c r="D35" s="55">
        <f t="shared" si="2"/>
        <v>3.141592653519746</v>
      </c>
    </row>
    <row r="36" spans="1:4" x14ac:dyDescent="0.2">
      <c r="A36" s="53">
        <v>33</v>
      </c>
      <c r="B36" s="54">
        <f t="shared" si="0"/>
        <v>1.7758743667433354E-11</v>
      </c>
      <c r="C36" s="54">
        <f t="shared" si="1"/>
        <v>1.5707963267776317</v>
      </c>
      <c r="D36" s="55">
        <f t="shared" si="2"/>
        <v>3.1415926535552634</v>
      </c>
    </row>
    <row r="37" spans="1:4" x14ac:dyDescent="0.2">
      <c r="A37" s="53">
        <v>34</v>
      </c>
      <c r="B37" s="54">
        <f t="shared" si="0"/>
        <v>8.7506852854019394E-12</v>
      </c>
      <c r="C37" s="54">
        <f t="shared" si="1"/>
        <v>1.5707963267863825</v>
      </c>
      <c r="D37" s="55">
        <f t="shared" si="2"/>
        <v>3.141592653572765</v>
      </c>
    </row>
    <row r="38" spans="1:4" x14ac:dyDescent="0.2">
      <c r="A38" s="53">
        <v>35</v>
      </c>
      <c r="B38" s="54">
        <f t="shared" si="0"/>
        <v>4.3137180984375754E-12</v>
      </c>
      <c r="C38" s="54">
        <f t="shared" si="1"/>
        <v>1.5707963267906961</v>
      </c>
      <c r="D38" s="55">
        <f t="shared" si="2"/>
        <v>3.1415926535813923</v>
      </c>
    </row>
    <row r="39" spans="1:4" x14ac:dyDescent="0.2">
      <c r="A39" s="53">
        <v>36</v>
      </c>
      <c r="B39" s="54">
        <f t="shared" si="0"/>
        <v>2.1273130348459283E-12</v>
      </c>
      <c r="C39" s="54">
        <f t="shared" si="1"/>
        <v>1.5707963267928235</v>
      </c>
      <c r="D39" s="55">
        <f t="shared" si="2"/>
        <v>3.1415926535856471</v>
      </c>
    </row>
    <row r="40" spans="1:4" x14ac:dyDescent="0.2">
      <c r="A40" s="53">
        <v>37</v>
      </c>
      <c r="B40" s="54">
        <f t="shared" si="0"/>
        <v>1.049474430523991E-12</v>
      </c>
      <c r="C40" s="54">
        <f t="shared" si="1"/>
        <v>1.5707963267938729</v>
      </c>
      <c r="D40" s="55">
        <f t="shared" si="2"/>
        <v>3.1415926535877459</v>
      </c>
    </row>
    <row r="41" spans="1:4" x14ac:dyDescent="0.2">
      <c r="A41" s="53">
        <v>38</v>
      </c>
      <c r="B41" s="54">
        <f t="shared" si="0"/>
        <v>5.179224462326188E-13</v>
      </c>
      <c r="C41" s="54">
        <f t="shared" si="1"/>
        <v>1.570796326794391</v>
      </c>
      <c r="D41" s="55">
        <f t="shared" si="2"/>
        <v>3.1415926535887819</v>
      </c>
    </row>
    <row r="42" spans="1:4" x14ac:dyDescent="0.2">
      <c r="A42" s="53">
        <v>39</v>
      </c>
      <c r="B42" s="54">
        <f t="shared" ref="B42:B68" si="3">((2^A42)*((FACT(A42)^2)))/(FACT(2*A42+1))</f>
        <v>2.5568323295028022E-13</v>
      </c>
      <c r="C42" s="54">
        <f t="shared" si="1"/>
        <v>1.5707963267946465</v>
      </c>
      <c r="D42" s="55">
        <f t="shared" si="2"/>
        <v>3.1415926535892931</v>
      </c>
    </row>
    <row r="43" spans="1:4" x14ac:dyDescent="0.2">
      <c r="A43" s="53">
        <v>40</v>
      </c>
      <c r="B43" s="54">
        <f t="shared" si="3"/>
        <v>1.2626332491371872E-13</v>
      </c>
      <c r="C43" s="54">
        <f t="shared" si="1"/>
        <v>1.5707963267947729</v>
      </c>
      <c r="D43" s="55">
        <f t="shared" si="2"/>
        <v>3.1415926535895458</v>
      </c>
    </row>
    <row r="44" spans="1:4" x14ac:dyDescent="0.2">
      <c r="A44" s="53">
        <v>41</v>
      </c>
      <c r="B44" s="54">
        <f t="shared" si="3"/>
        <v>6.237104001761999E-14</v>
      </c>
      <c r="C44" s="54">
        <f t="shared" si="1"/>
        <v>1.5707963267948353</v>
      </c>
      <c r="D44" s="55">
        <f t="shared" si="2"/>
        <v>3.1415926535896705</v>
      </c>
    </row>
    <row r="45" spans="1:4" x14ac:dyDescent="0.2">
      <c r="A45" s="53">
        <v>42</v>
      </c>
      <c r="B45" s="54">
        <f t="shared" si="3"/>
        <v>3.0818631538118168E-14</v>
      </c>
      <c r="C45" s="54">
        <f t="shared" si="1"/>
        <v>1.5707963267948661</v>
      </c>
      <c r="D45" s="55">
        <f t="shared" si="2"/>
        <v>3.1415926535897323</v>
      </c>
    </row>
    <row r="46" spans="1:4" x14ac:dyDescent="0.2">
      <c r="A46" s="53">
        <v>43</v>
      </c>
      <c r="B46" s="54">
        <f t="shared" si="3"/>
        <v>1.5232197197000934E-14</v>
      </c>
      <c r="C46" s="54">
        <f t="shared" si="1"/>
        <v>1.5707963267948815</v>
      </c>
      <c r="D46" s="55">
        <f t="shared" si="2"/>
        <v>3.1415926535897629</v>
      </c>
    </row>
    <row r="47" spans="1:4" x14ac:dyDescent="0.2">
      <c r="A47" s="53">
        <v>44</v>
      </c>
      <c r="B47" s="54">
        <f t="shared" si="3"/>
        <v>7.5305244569442786E-15</v>
      </c>
      <c r="C47" s="54">
        <f t="shared" si="1"/>
        <v>1.570796326794889</v>
      </c>
      <c r="D47" s="55">
        <f t="shared" si="2"/>
        <v>3.141592653589778</v>
      </c>
    </row>
    <row r="48" spans="1:4" x14ac:dyDescent="0.2">
      <c r="A48" s="53">
        <v>45</v>
      </c>
      <c r="B48" s="54">
        <f t="shared" si="3"/>
        <v>3.7238857204669495E-15</v>
      </c>
      <c r="C48" s="54">
        <f t="shared" si="1"/>
        <v>1.5707963267948928</v>
      </c>
      <c r="D48" s="55">
        <f t="shared" si="2"/>
        <v>3.1415926535897856</v>
      </c>
    </row>
    <row r="49" spans="1:4" x14ac:dyDescent="0.2">
      <c r="A49" s="53">
        <v>46</v>
      </c>
      <c r="B49" s="54">
        <f t="shared" si="3"/>
        <v>1.8419219692632234E-15</v>
      </c>
      <c r="C49" s="54">
        <f t="shared" si="1"/>
        <v>1.5707963267948946</v>
      </c>
      <c r="D49" s="55">
        <f t="shared" si="2"/>
        <v>3.1415926535897891</v>
      </c>
    </row>
    <row r="50" spans="1:4" x14ac:dyDescent="0.2">
      <c r="A50" s="53">
        <v>47</v>
      </c>
      <c r="B50" s="54">
        <f t="shared" si="3"/>
        <v>9.1126665847759482E-16</v>
      </c>
      <c r="C50" s="54">
        <f t="shared" si="1"/>
        <v>1.5707963267948954</v>
      </c>
      <c r="D50" s="55">
        <f t="shared" si="2"/>
        <v>3.1415926535897909</v>
      </c>
    </row>
    <row r="51" spans="1:4" x14ac:dyDescent="0.2">
      <c r="A51" s="53">
        <v>48</v>
      </c>
      <c r="B51" s="54">
        <f t="shared" si="3"/>
        <v>4.5093607842190191E-16</v>
      </c>
      <c r="C51" s="54">
        <f t="shared" si="1"/>
        <v>1.5707963267948959</v>
      </c>
      <c r="D51" s="55">
        <f t="shared" si="2"/>
        <v>3.1415926535897918</v>
      </c>
    </row>
    <row r="52" spans="1:4" x14ac:dyDescent="0.2">
      <c r="A52" s="53">
        <v>49</v>
      </c>
      <c r="B52" s="54">
        <f t="shared" si="3"/>
        <v>2.2319058426942667E-16</v>
      </c>
      <c r="C52" s="54">
        <f t="shared" si="1"/>
        <v>1.5707963267948961</v>
      </c>
      <c r="D52" s="55">
        <f t="shared" si="2"/>
        <v>3.1415926535897922</v>
      </c>
    </row>
    <row r="53" spans="1:4" x14ac:dyDescent="0.2">
      <c r="A53" s="56">
        <v>50</v>
      </c>
      <c r="B53" s="57">
        <f t="shared" si="3"/>
        <v>1.1049038825219127E-16</v>
      </c>
      <c r="C53" s="57">
        <f t="shared" si="1"/>
        <v>1.5707963267948961</v>
      </c>
      <c r="D53" s="58">
        <f t="shared" si="2"/>
        <v>3.1415926535897922</v>
      </c>
    </row>
    <row r="54" spans="1:4" x14ac:dyDescent="0.2">
      <c r="D54" s="49"/>
    </row>
    <row r="55" spans="1:4" x14ac:dyDescent="0.2">
      <c r="D55" s="49"/>
    </row>
    <row r="56" spans="1:4" x14ac:dyDescent="0.2">
      <c r="D56" s="49"/>
    </row>
    <row r="57" spans="1:4" x14ac:dyDescent="0.2">
      <c r="D57" s="49"/>
    </row>
    <row r="58" spans="1:4" x14ac:dyDescent="0.2">
      <c r="D58" s="49"/>
    </row>
    <row r="59" spans="1:4" x14ac:dyDescent="0.2">
      <c r="D59" s="49"/>
    </row>
    <row r="60" spans="1:4" x14ac:dyDescent="0.2">
      <c r="D60" s="49"/>
    </row>
    <row r="61" spans="1:4" x14ac:dyDescent="0.2">
      <c r="D61" s="49"/>
    </row>
    <row r="62" spans="1:4" x14ac:dyDescent="0.2">
      <c r="D62" s="49"/>
    </row>
    <row r="63" spans="1:4" x14ac:dyDescent="0.2">
      <c r="D63" s="49"/>
    </row>
    <row r="64" spans="1:4" x14ac:dyDescent="0.2">
      <c r="D64" s="49"/>
    </row>
    <row r="65" spans="4:4" x14ac:dyDescent="0.2">
      <c r="D65" s="49"/>
    </row>
    <row r="66" spans="4:4" x14ac:dyDescent="0.2">
      <c r="D66" s="49"/>
    </row>
    <row r="67" spans="4:4" x14ac:dyDescent="0.2">
      <c r="D67" s="49"/>
    </row>
    <row r="68" spans="4:4" x14ac:dyDescent="0.2">
      <c r="D68" s="49"/>
    </row>
    <row r="69" spans="4:4" x14ac:dyDescent="0.2">
      <c r="D69" s="49"/>
    </row>
    <row r="70" spans="4:4" x14ac:dyDescent="0.2">
      <c r="D70" s="49"/>
    </row>
    <row r="71" spans="4:4" x14ac:dyDescent="0.2">
      <c r="D71" s="49"/>
    </row>
    <row r="72" spans="4:4" x14ac:dyDescent="0.2">
      <c r="D72" s="49"/>
    </row>
    <row r="73" spans="4:4" x14ac:dyDescent="0.2">
      <c r="D73" s="49"/>
    </row>
    <row r="74" spans="4:4" x14ac:dyDescent="0.2">
      <c r="D74" s="49"/>
    </row>
    <row r="75" spans="4:4" x14ac:dyDescent="0.2">
      <c r="D75" s="49"/>
    </row>
    <row r="76" spans="4:4" x14ac:dyDescent="0.2">
      <c r="D76" s="49"/>
    </row>
    <row r="77" spans="4:4" x14ac:dyDescent="0.2">
      <c r="D77" s="49"/>
    </row>
    <row r="78" spans="4:4" x14ac:dyDescent="0.2">
      <c r="D78" s="49"/>
    </row>
    <row r="79" spans="4:4" x14ac:dyDescent="0.2">
      <c r="D79" s="49"/>
    </row>
    <row r="80" spans="4:4" x14ac:dyDescent="0.2">
      <c r="D80" s="49"/>
    </row>
    <row r="81" spans="4:4" x14ac:dyDescent="0.2">
      <c r="D81" s="49"/>
    </row>
    <row r="82" spans="4:4" x14ac:dyDescent="0.2">
      <c r="D82" s="49"/>
    </row>
    <row r="83" spans="4:4" x14ac:dyDescent="0.2">
      <c r="D83" s="49"/>
    </row>
    <row r="84" spans="4:4" x14ac:dyDescent="0.2">
      <c r="D84" s="49"/>
    </row>
    <row r="85" spans="4:4" x14ac:dyDescent="0.2">
      <c r="D85" s="49"/>
    </row>
    <row r="86" spans="4:4" x14ac:dyDescent="0.2">
      <c r="D86" s="49"/>
    </row>
    <row r="87" spans="4:4" x14ac:dyDescent="0.2">
      <c r="D87" s="49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9766-A397-3540-A5A1-C108FFFC72BB}">
  <dimension ref="A3:J400"/>
  <sheetViews>
    <sheetView topLeftCell="A9" zoomScale="133" zoomScaleNormal="133" workbookViewId="0">
      <selection activeCell="G19" sqref="G19"/>
    </sheetView>
  </sheetViews>
  <sheetFormatPr baseColWidth="10" defaultRowHeight="15" x14ac:dyDescent="0.2"/>
  <cols>
    <col min="1" max="1" width="14" bestFit="1" customWidth="1"/>
    <col min="2" max="2" width="26" style="7" bestFit="1" customWidth="1"/>
    <col min="3" max="3" width="12.1640625" style="7" customWidth="1"/>
    <col min="4" max="4" width="30" style="7" customWidth="1"/>
    <col min="5" max="5" width="32.5" style="7" bestFit="1" customWidth="1"/>
    <col min="6" max="6" width="23.83203125" style="7" customWidth="1"/>
    <col min="7" max="7" width="21.5" customWidth="1"/>
    <col min="8" max="8" width="24.83203125" customWidth="1"/>
    <col min="9" max="9" width="23.1640625" bestFit="1" customWidth="1"/>
    <col min="10" max="11" width="26.5" customWidth="1"/>
    <col min="12" max="13" width="20.33203125" bestFit="1" customWidth="1"/>
  </cols>
  <sheetData>
    <row r="3" spans="1:10" x14ac:dyDescent="0.2">
      <c r="A3" t="s">
        <v>8</v>
      </c>
    </row>
    <row r="5" spans="1:10" ht="16" thickBot="1" x14ac:dyDescent="0.25">
      <c r="A5" s="18" t="s">
        <v>13</v>
      </c>
      <c r="B5" s="19" t="s">
        <v>14</v>
      </c>
      <c r="C5" s="19" t="s">
        <v>15</v>
      </c>
      <c r="D5" s="19" t="s">
        <v>10</v>
      </c>
      <c r="E5" s="20" t="s">
        <v>17</v>
      </c>
      <c r="F5" s="20" t="s">
        <v>29</v>
      </c>
      <c r="G5" s="19" t="s">
        <v>18</v>
      </c>
      <c r="H5" s="20" t="s">
        <v>19</v>
      </c>
      <c r="I5" s="19" t="s">
        <v>21</v>
      </c>
      <c r="J5" s="20" t="s">
        <v>22</v>
      </c>
    </row>
    <row r="6" spans="1:10" x14ac:dyDescent="0.2">
      <c r="A6" s="21">
        <v>4</v>
      </c>
      <c r="B6" s="22">
        <f ca="1">SUM(B36:B400)</f>
        <v>1785</v>
      </c>
      <c r="C6" s="22">
        <f ca="1">SUM(C36:C400)</f>
        <v>1731</v>
      </c>
      <c r="D6" s="22">
        <f ca="1">A6+B6-C6</f>
        <v>58</v>
      </c>
      <c r="E6" s="23">
        <v>15000</v>
      </c>
      <c r="F6" s="24">
        <v>5000</v>
      </c>
      <c r="G6" s="24">
        <v>500</v>
      </c>
      <c r="H6" s="24">
        <v>1000</v>
      </c>
      <c r="I6" s="25">
        <f ca="1">AVERAGE(D36:D64)</f>
        <v>4.8620689655172411</v>
      </c>
      <c r="J6" s="26">
        <f ca="1">AVERAGE(Tabla1[Produccio Dia])</f>
        <v>4.8904109589041092</v>
      </c>
    </row>
    <row r="7" spans="1:10" x14ac:dyDescent="0.2">
      <c r="E7" s="9"/>
    </row>
    <row r="8" spans="1:10" s="7" customFormat="1" ht="16" x14ac:dyDescent="0.2">
      <c r="A8" s="7" t="s">
        <v>26</v>
      </c>
      <c r="B8" s="7" t="s">
        <v>27</v>
      </c>
      <c r="C8" s="7" t="s">
        <v>14</v>
      </c>
      <c r="D8" s="7" t="s">
        <v>46</v>
      </c>
      <c r="E8" s="33" t="s">
        <v>47</v>
      </c>
      <c r="F8" s="34" t="s">
        <v>48</v>
      </c>
    </row>
    <row r="9" spans="1:10" s="7" customFormat="1" x14ac:dyDescent="0.2">
      <c r="A9" s="28" cm="1">
        <f t="array" aca="1" ref="A9" ca="1">Tabla2[ventas]*Tabla2[Precio de venta]</f>
        <v>25965000</v>
      </c>
      <c r="B9" s="17" cm="1">
        <f t="array" aca="1" ref="B9" ca="1">Tabla2[ventas]/365</f>
        <v>4.7424657534246579</v>
      </c>
      <c r="C9" s="7">
        <v>3</v>
      </c>
      <c r="D9" s="9">
        <f ca="1">AVERAGEIF(Tabla1[Produccio Dia],Tabla4[[#This Row],[Produccion]],Tabla1[Bodega])</f>
        <v>23.48</v>
      </c>
      <c r="E9" s="28">
        <f ca="1">AVERAGEIF(Tabla1[Produccio Dia],Tabla4[[#This Row],[Produccion]],Tabla1[Utilidad Promedio])</f>
        <v>35993.333333333336</v>
      </c>
      <c r="F9" s="28">
        <f ca="1">SUMIF(Tabla1[Produccio Dia],Tabla4[[#This Row],[Produccion]],Tabla1[Utilidad Promedio])</f>
        <v>2699500</v>
      </c>
    </row>
    <row r="10" spans="1:10" x14ac:dyDescent="0.2">
      <c r="A10" s="28"/>
      <c r="B10" s="17"/>
      <c r="C10" s="7">
        <v>4</v>
      </c>
      <c r="D10" s="9">
        <f ca="1">AVERAGEIF(Tabla1[Produccio Dia],Tabla4[[#This Row],[Produccion]],Tabla1[Bodega])</f>
        <v>25.986301369863014</v>
      </c>
      <c r="E10" s="28">
        <f ca="1">AVERAGEIF(Tabla1[Produccio Dia],Tabla4[[#This Row],[Produccion]],Tabla1[Utilidad Promedio])</f>
        <v>33582.191780821915</v>
      </c>
      <c r="F10" s="28">
        <f ca="1">SUMIF(Tabla1[Produccio Dia],Tabla4[[#This Row],[Produccion]],Tabla1[Utilidad Promedio])</f>
        <v>2451500</v>
      </c>
    </row>
    <row r="11" spans="1:10" x14ac:dyDescent="0.2">
      <c r="A11" s="28"/>
      <c r="B11" s="17"/>
      <c r="C11" s="7">
        <v>5</v>
      </c>
      <c r="D11" s="9">
        <f ca="1">AVERAGEIF(Tabla1[Produccio Dia],Tabla4[[#This Row],[Produccion]],Tabla1[Bodega])</f>
        <v>25.103448275862068</v>
      </c>
      <c r="E11" s="28">
        <f ca="1">AVERAGEIF(Tabla1[Produccio Dia],Tabla4[[#This Row],[Produccion]],Tabla1[Utilidad Promedio])</f>
        <v>35609.19540229885</v>
      </c>
      <c r="F11" s="28">
        <f ca="1">SUMIF(Tabla1[Produccio Dia],Tabla4[[#This Row],[Produccion]],Tabla1[Utilidad Promedio])</f>
        <v>3098000</v>
      </c>
    </row>
    <row r="12" spans="1:10" x14ac:dyDescent="0.2">
      <c r="A12" s="28"/>
      <c r="B12" s="17"/>
      <c r="C12" s="7">
        <v>6</v>
      </c>
      <c r="D12" s="9">
        <f ca="1">AVERAGEIF(Tabla1[Produccio Dia],Tabla4[[#This Row],[Produccion]],Tabla1[Bodega])</f>
        <v>27.064935064935064</v>
      </c>
      <c r="E12" s="28">
        <f ca="1">AVERAGEIF(Tabla1[Produccio Dia],Tabla4[[#This Row],[Produccion]],Tabla1[Utilidad Promedio])</f>
        <v>33480.519480519477</v>
      </c>
      <c r="F12" s="28">
        <f ca="1">SUMIF(Tabla1[Produccio Dia],Tabla4[[#This Row],[Produccion]],Tabla1[Utilidad Promedio])</f>
        <v>2578000</v>
      </c>
    </row>
    <row r="13" spans="1:10" x14ac:dyDescent="0.2">
      <c r="A13" s="28"/>
      <c r="B13" s="17"/>
      <c r="C13" s="7">
        <v>7</v>
      </c>
      <c r="D13" s="9">
        <f ca="1">AVERAGEIF(Tabla1[Produccio Dia],Tabla4[[#This Row],[Produccion]],Tabla1[Bodega])</f>
        <v>26.509433962264151</v>
      </c>
      <c r="E13" s="28">
        <f ca="1">AVERAGEIF(Tabla1[Produccio Dia],Tabla4[[#This Row],[Produccion]],Tabla1[Utilidad Promedio])</f>
        <v>34292.452830188682</v>
      </c>
      <c r="F13" s="28">
        <f ca="1">SUMIF(Tabla1[Produccio Dia],Tabla4[[#This Row],[Produccion]],Tabla1[Utilidad Promedio])</f>
        <v>1817500</v>
      </c>
    </row>
    <row r="14" spans="1:10" x14ac:dyDescent="0.2">
      <c r="E14" s="9"/>
    </row>
    <row r="15" spans="1:10" x14ac:dyDescent="0.2">
      <c r="E15" s="9"/>
    </row>
    <row r="16" spans="1:10" x14ac:dyDescent="0.2">
      <c r="E16" s="9"/>
    </row>
    <row r="17" spans="1:5" x14ac:dyDescent="0.2">
      <c r="E17" s="9"/>
    </row>
    <row r="18" spans="1:5" x14ac:dyDescent="0.2">
      <c r="E18" s="9"/>
    </row>
    <row r="19" spans="1:5" x14ac:dyDescent="0.2">
      <c r="E19" s="9"/>
    </row>
    <row r="20" spans="1:5" x14ac:dyDescent="0.2">
      <c r="E20" s="9"/>
    </row>
    <row r="21" spans="1:5" x14ac:dyDescent="0.2">
      <c r="E21" s="9"/>
    </row>
    <row r="22" spans="1:5" x14ac:dyDescent="0.2">
      <c r="E22" s="9"/>
    </row>
    <row r="23" spans="1:5" x14ac:dyDescent="0.2">
      <c r="E23" s="9"/>
    </row>
    <row r="24" spans="1:5" x14ac:dyDescent="0.2">
      <c r="E24" s="9"/>
    </row>
    <row r="25" spans="1:5" x14ac:dyDescent="0.2">
      <c r="E25" s="9"/>
    </row>
    <row r="26" spans="1:5" x14ac:dyDescent="0.2">
      <c r="E26" s="9"/>
    </row>
    <row r="27" spans="1:5" x14ac:dyDescent="0.2">
      <c r="E27" s="9"/>
    </row>
    <row r="28" spans="1:5" x14ac:dyDescent="0.2">
      <c r="E28" s="9"/>
    </row>
    <row r="29" spans="1:5" x14ac:dyDescent="0.2">
      <c r="E29" s="9"/>
    </row>
    <row r="30" spans="1:5" x14ac:dyDescent="0.2">
      <c r="E30" s="9"/>
    </row>
    <row r="31" spans="1:5" x14ac:dyDescent="0.2">
      <c r="A31" s="27" t="s">
        <v>23</v>
      </c>
      <c r="B31" s="27"/>
      <c r="E31" s="8"/>
    </row>
    <row r="32" spans="1:5" x14ac:dyDescent="0.2">
      <c r="A32" s="7" t="s">
        <v>24</v>
      </c>
      <c r="B32" s="7" t="s">
        <v>25</v>
      </c>
    </row>
    <row r="33" spans="1:6" x14ac:dyDescent="0.2">
      <c r="A33" s="7">
        <v>3</v>
      </c>
      <c r="B33" s="7">
        <v>7</v>
      </c>
    </row>
    <row r="35" spans="1:6" x14ac:dyDescent="0.2">
      <c r="A35" s="7" t="s">
        <v>9</v>
      </c>
      <c r="B35" s="7" t="s">
        <v>11</v>
      </c>
      <c r="C35" s="7" t="s">
        <v>12</v>
      </c>
      <c r="D35" s="7" t="s">
        <v>10</v>
      </c>
      <c r="E35" s="7" t="s">
        <v>28</v>
      </c>
      <c r="F35" s="7" t="s">
        <v>20</v>
      </c>
    </row>
    <row r="36" spans="1:6" x14ac:dyDescent="0.2">
      <c r="A36" s="7">
        <v>1</v>
      </c>
      <c r="B36" s="7">
        <v>3</v>
      </c>
      <c r="C36" s="7">
        <f ca="1">IF(RAND()&gt;=0.5,5,IF(RAND()&gt;=0.2,4,6))</f>
        <v>5</v>
      </c>
      <c r="D36" s="7">
        <f ca="1">A6+B36-C36</f>
        <v>2</v>
      </c>
      <c r="E36" s="17" cm="1">
        <f t="array" aca="1" ref="E36" ca="1">ABS(IF(Tabla1[[#This Row],[Bodega]]&gt;0,Tabla1[[#This Row],[Bodega]]*Tabla2[Costo unitario Inventario],Tabla1[[#This Row],[Bodega]]*Tabla2[Costo unitario Deficit]))</f>
        <v>1000</v>
      </c>
      <c r="F36" s="17" cm="1">
        <f t="array" aca="1" ref="F36" ca="1">(Tabla1[[#This Row],[Venta Dia]]*Tabla2[Precio de venta])-(Tabla1[[#This Row],[Venta Dia]]*Tabla2[Costo Produccion])-Tabla1[[#This Row],[Déficit bodega]]</f>
        <v>49000</v>
      </c>
    </row>
    <row r="37" spans="1:6" x14ac:dyDescent="0.2">
      <c r="A37" s="7">
        <v>2</v>
      </c>
      <c r="B37" s="7">
        <f t="shared" ref="B37:B99" ca="1" si="0">RANDBETWEEN($A$33,$B$33)</f>
        <v>7</v>
      </c>
      <c r="C37" s="7">
        <f t="shared" ref="C37:C100" ca="1" si="1">IF(RAND()&gt;=0.5,5,IF(RAND()&gt;=0.2,4,6))</f>
        <v>4</v>
      </c>
      <c r="D37" s="7">
        <f ca="1">Tabla1[[#This Row],[Produccio Dia]]+D36-C37</f>
        <v>5</v>
      </c>
      <c r="E37" s="17" cm="1">
        <f t="array" aca="1" ref="E37" ca="1">ABS(IF(Tabla1[[#This Row],[Bodega]]&gt;0,Tabla1[[#This Row],[Bodega]]*Tabla2[Costo unitario Inventario],Tabla1[[#This Row],[Bodega]]*Tabla2[Costo unitario Deficit]))</f>
        <v>2500</v>
      </c>
      <c r="F37" s="17" cm="1">
        <f t="array" aca="1" ref="F37" ca="1">(Tabla1[[#This Row],[Venta Dia]]*Tabla2[Precio de venta])-(Tabla1[[#This Row],[Venta Dia]]*Tabla2[Costo Produccion])-Tabla1[[#This Row],[Déficit bodega]]</f>
        <v>37500</v>
      </c>
    </row>
    <row r="38" spans="1:6" x14ac:dyDescent="0.2">
      <c r="A38" s="7">
        <v>3</v>
      </c>
      <c r="B38" s="7">
        <f t="shared" ca="1" si="0"/>
        <v>6</v>
      </c>
      <c r="C38" s="7">
        <f t="shared" ca="1" si="1"/>
        <v>5</v>
      </c>
      <c r="D38" s="7">
        <f ca="1">D37+B38-C38</f>
        <v>6</v>
      </c>
      <c r="E38" s="17" cm="1">
        <f t="array" aca="1" ref="E38" ca="1">ABS(IF(Tabla1[[#This Row],[Bodega]]&gt;0,Tabla1[[#This Row],[Bodega]]*Tabla2[Costo unitario Inventario],Tabla1[[#This Row],[Bodega]]*Tabla2[Costo unitario Deficit]))</f>
        <v>3000</v>
      </c>
      <c r="F38" s="17" cm="1">
        <f t="array" aca="1" ref="F38" ca="1">(Tabla1[[#This Row],[Venta Dia]]*Tabla2[Precio de venta])-(Tabla1[[#This Row],[Venta Dia]]*Tabla2[Costo Produccion])-Tabla1[[#This Row],[Déficit bodega]]</f>
        <v>47000</v>
      </c>
    </row>
    <row r="39" spans="1:6" x14ac:dyDescent="0.2">
      <c r="A39" s="7">
        <v>4</v>
      </c>
      <c r="B39" s="7">
        <f t="shared" ca="1" si="0"/>
        <v>6</v>
      </c>
      <c r="C39" s="7">
        <f t="shared" ca="1" si="1"/>
        <v>5</v>
      </c>
      <c r="D39" s="7">
        <f ca="1">D38+B39-C39</f>
        <v>7</v>
      </c>
      <c r="E39" s="17" cm="1">
        <f t="array" aca="1" ref="E39" ca="1">ABS(IF(Tabla1[[#This Row],[Bodega]]&gt;0,Tabla1[[#This Row],[Bodega]]*Tabla2[Costo unitario Inventario],Tabla1[[#This Row],[Bodega]]*Tabla2[Costo unitario Deficit]))</f>
        <v>3500</v>
      </c>
      <c r="F39" s="17" cm="1">
        <f t="array" aca="1" ref="F39" ca="1">(Tabla1[[#This Row],[Venta Dia]]*Tabla2[Precio de venta])-(Tabla1[[#This Row],[Venta Dia]]*Tabla2[Costo Produccion])-Tabla1[[#This Row],[Déficit bodega]]</f>
        <v>46500</v>
      </c>
    </row>
    <row r="40" spans="1:6" x14ac:dyDescent="0.2">
      <c r="A40" s="7">
        <v>5</v>
      </c>
      <c r="B40" s="7">
        <f t="shared" ca="1" si="0"/>
        <v>5</v>
      </c>
      <c r="C40" s="7">
        <f t="shared" ca="1" si="1"/>
        <v>5</v>
      </c>
      <c r="D40" s="7">
        <f ca="1">D39+B40-C40</f>
        <v>7</v>
      </c>
      <c r="E40" s="17" cm="1">
        <f t="array" aca="1" ref="E40" ca="1">ABS(IF(Tabla1[[#This Row],[Bodega]]&gt;0,Tabla1[[#This Row],[Bodega]]*Tabla2[Costo unitario Inventario],Tabla1[[#This Row],[Bodega]]*Tabla2[Costo unitario Deficit]))</f>
        <v>3500</v>
      </c>
      <c r="F40" s="17" cm="1">
        <f t="array" aca="1" ref="F40" ca="1">(Tabla1[[#This Row],[Venta Dia]]*Tabla2[Precio de venta])-(Tabla1[[#This Row],[Venta Dia]]*Tabla2[Costo Produccion])-Tabla1[[#This Row],[Déficit bodega]]</f>
        <v>46500</v>
      </c>
    </row>
    <row r="41" spans="1:6" x14ac:dyDescent="0.2">
      <c r="A41" s="7">
        <v>6</v>
      </c>
      <c r="B41" s="7">
        <f t="shared" ca="1" si="0"/>
        <v>4</v>
      </c>
      <c r="C41" s="7">
        <f t="shared" ca="1" si="1"/>
        <v>4</v>
      </c>
      <c r="D41" s="7">
        <f t="shared" ref="D41:D101" ca="1" si="2">D40+B41-C41</f>
        <v>7</v>
      </c>
      <c r="E41" s="17" cm="1">
        <f t="array" aca="1" ref="E41" ca="1">ABS(IF(Tabla1[[#This Row],[Bodega]]&gt;0,Tabla1[[#This Row],[Bodega]]*Tabla2[Costo unitario Inventario],Tabla1[[#This Row],[Bodega]]*Tabla2[Costo unitario Deficit]))</f>
        <v>3500</v>
      </c>
      <c r="F41" s="17" cm="1">
        <f t="array" aca="1" ref="F41" ca="1">(Tabla1[[#This Row],[Venta Dia]]*Tabla2[Precio de venta])-(Tabla1[[#This Row],[Venta Dia]]*Tabla2[Costo Produccion])-Tabla1[[#This Row],[Déficit bodega]]</f>
        <v>36500</v>
      </c>
    </row>
    <row r="42" spans="1:6" x14ac:dyDescent="0.2">
      <c r="A42" s="7">
        <v>7</v>
      </c>
      <c r="B42" s="7">
        <f t="shared" ca="1" si="0"/>
        <v>5</v>
      </c>
      <c r="C42" s="7">
        <f t="shared" ca="1" si="1"/>
        <v>5</v>
      </c>
      <c r="D42" s="7">
        <f t="shared" ca="1" si="2"/>
        <v>7</v>
      </c>
      <c r="E42" s="17" cm="1">
        <f t="array" aca="1" ref="E42" ca="1">ABS(IF(Tabla1[[#This Row],[Bodega]]&gt;0,Tabla1[[#This Row],[Bodega]]*Tabla2[Costo unitario Inventario],Tabla1[[#This Row],[Bodega]]*Tabla2[Costo unitario Deficit]))</f>
        <v>3500</v>
      </c>
      <c r="F42" s="17" cm="1">
        <f t="array" aca="1" ref="F42" ca="1">(Tabla1[[#This Row],[Venta Dia]]*Tabla2[Precio de venta])-(Tabla1[[#This Row],[Venta Dia]]*Tabla2[Costo Produccion])-Tabla1[[#This Row],[Déficit bodega]]</f>
        <v>46500</v>
      </c>
    </row>
    <row r="43" spans="1:6" x14ac:dyDescent="0.2">
      <c r="A43" s="7">
        <v>8</v>
      </c>
      <c r="B43" s="7">
        <f t="shared" ca="1" si="0"/>
        <v>5</v>
      </c>
      <c r="C43" s="7">
        <f t="shared" ca="1" si="1"/>
        <v>5</v>
      </c>
      <c r="D43" s="7">
        <f t="shared" ca="1" si="2"/>
        <v>7</v>
      </c>
      <c r="E43" s="17" cm="1">
        <f t="array" aca="1" ref="E43" ca="1">ABS(IF(Tabla1[[#This Row],[Bodega]]&gt;0,Tabla1[[#This Row],[Bodega]]*Tabla2[Costo unitario Inventario],Tabla1[[#This Row],[Bodega]]*Tabla2[Costo unitario Deficit]))</f>
        <v>3500</v>
      </c>
      <c r="F43" s="17" cm="1">
        <f t="array" aca="1" ref="F43" ca="1">(Tabla1[[#This Row],[Venta Dia]]*Tabla2[Precio de venta])-(Tabla1[[#This Row],[Venta Dia]]*Tabla2[Costo Produccion])-Tabla1[[#This Row],[Déficit bodega]]</f>
        <v>46500</v>
      </c>
    </row>
    <row r="44" spans="1:6" x14ac:dyDescent="0.2">
      <c r="A44" s="7">
        <v>9</v>
      </c>
      <c r="B44" s="7">
        <f t="shared" ca="1" si="0"/>
        <v>3</v>
      </c>
      <c r="C44" s="7">
        <f t="shared" ca="1" si="1"/>
        <v>4</v>
      </c>
      <c r="D44" s="7">
        <f t="shared" ca="1" si="2"/>
        <v>6</v>
      </c>
      <c r="E44" s="17" cm="1">
        <f t="array" aca="1" ref="E44" ca="1">ABS(IF(Tabla1[[#This Row],[Bodega]]&gt;0,Tabla1[[#This Row],[Bodega]]*Tabla2[Costo unitario Inventario],Tabla1[[#This Row],[Bodega]]*Tabla2[Costo unitario Deficit]))</f>
        <v>3000</v>
      </c>
      <c r="F44" s="17" cm="1">
        <f t="array" aca="1" ref="F44" ca="1">(Tabla1[[#This Row],[Venta Dia]]*Tabla2[Precio de venta])-(Tabla1[[#This Row],[Venta Dia]]*Tabla2[Costo Produccion])-Tabla1[[#This Row],[Déficit bodega]]</f>
        <v>37000</v>
      </c>
    </row>
    <row r="45" spans="1:6" x14ac:dyDescent="0.2">
      <c r="A45" s="7">
        <v>10</v>
      </c>
      <c r="B45" s="7">
        <f t="shared" ca="1" si="0"/>
        <v>5</v>
      </c>
      <c r="C45" s="7">
        <f t="shared" ca="1" si="1"/>
        <v>6</v>
      </c>
      <c r="D45" s="7">
        <f t="shared" ca="1" si="2"/>
        <v>5</v>
      </c>
      <c r="E45" s="17" cm="1">
        <f t="array" aca="1" ref="E45" ca="1">ABS(IF(Tabla1[[#This Row],[Bodega]]&gt;0,Tabla1[[#This Row],[Bodega]]*Tabla2[Costo unitario Inventario],Tabla1[[#This Row],[Bodega]]*Tabla2[Costo unitario Deficit]))</f>
        <v>2500</v>
      </c>
      <c r="F45" s="17" cm="1">
        <f t="array" aca="1" ref="F45" ca="1">(Tabla1[[#This Row],[Venta Dia]]*Tabla2[Precio de venta])-(Tabla1[[#This Row],[Venta Dia]]*Tabla2[Costo Produccion])-Tabla1[[#This Row],[Déficit bodega]]</f>
        <v>57500</v>
      </c>
    </row>
    <row r="46" spans="1:6" x14ac:dyDescent="0.2">
      <c r="A46" s="7">
        <v>11</v>
      </c>
      <c r="B46" s="7">
        <f t="shared" ca="1" si="0"/>
        <v>5</v>
      </c>
      <c r="C46" s="7">
        <f t="shared" ca="1" si="1"/>
        <v>4</v>
      </c>
      <c r="D46" s="7">
        <f t="shared" ca="1" si="2"/>
        <v>6</v>
      </c>
      <c r="E46" s="17" cm="1">
        <f t="array" aca="1" ref="E46" ca="1">ABS(IF(Tabla1[[#This Row],[Bodega]]&gt;0,Tabla1[[#This Row],[Bodega]]*Tabla2[Costo unitario Inventario],Tabla1[[#This Row],[Bodega]]*Tabla2[Costo unitario Deficit]))</f>
        <v>3000</v>
      </c>
      <c r="F46" s="17" cm="1">
        <f t="array" aca="1" ref="F46" ca="1">(Tabla1[[#This Row],[Venta Dia]]*Tabla2[Precio de venta])-(Tabla1[[#This Row],[Venta Dia]]*Tabla2[Costo Produccion])-Tabla1[[#This Row],[Déficit bodega]]</f>
        <v>37000</v>
      </c>
    </row>
    <row r="47" spans="1:6" x14ac:dyDescent="0.2">
      <c r="A47" s="7">
        <v>12</v>
      </c>
      <c r="B47" s="7">
        <f t="shared" ca="1" si="0"/>
        <v>5</v>
      </c>
      <c r="C47" s="7">
        <f t="shared" ca="1" si="1"/>
        <v>6</v>
      </c>
      <c r="D47" s="7">
        <f t="shared" ca="1" si="2"/>
        <v>5</v>
      </c>
      <c r="E47" s="17" cm="1">
        <f t="array" aca="1" ref="E47" ca="1">ABS(IF(Tabla1[[#This Row],[Bodega]]&gt;0,Tabla1[[#This Row],[Bodega]]*Tabla2[Costo unitario Inventario],Tabla1[[#This Row],[Bodega]]*Tabla2[Costo unitario Deficit]))</f>
        <v>2500</v>
      </c>
      <c r="F47" s="17" cm="1">
        <f t="array" aca="1" ref="F47" ca="1">(Tabla1[[#This Row],[Venta Dia]]*Tabla2[Precio de venta])-(Tabla1[[#This Row],[Venta Dia]]*Tabla2[Costo Produccion])-Tabla1[[#This Row],[Déficit bodega]]</f>
        <v>57500</v>
      </c>
    </row>
    <row r="48" spans="1:6" x14ac:dyDescent="0.2">
      <c r="A48" s="7">
        <v>13</v>
      </c>
      <c r="B48" s="7">
        <f t="shared" ca="1" si="0"/>
        <v>5</v>
      </c>
      <c r="C48" s="7">
        <f t="shared" ca="1" si="1"/>
        <v>5</v>
      </c>
      <c r="D48" s="7">
        <f t="shared" ca="1" si="2"/>
        <v>5</v>
      </c>
      <c r="E48" s="17" cm="1">
        <f t="array" aca="1" ref="E48" ca="1">ABS(IF(Tabla1[[#This Row],[Bodega]]&gt;0,Tabla1[[#This Row],[Bodega]]*Tabla2[Costo unitario Inventario],Tabla1[[#This Row],[Bodega]]*Tabla2[Costo unitario Deficit]))</f>
        <v>2500</v>
      </c>
      <c r="F48" s="17" cm="1">
        <f t="array" aca="1" ref="F48" ca="1">(Tabla1[[#This Row],[Venta Dia]]*Tabla2[Precio de venta])-(Tabla1[[#This Row],[Venta Dia]]*Tabla2[Costo Produccion])-Tabla1[[#This Row],[Déficit bodega]]</f>
        <v>47500</v>
      </c>
    </row>
    <row r="49" spans="1:6" x14ac:dyDescent="0.2">
      <c r="A49" s="7">
        <v>14</v>
      </c>
      <c r="B49" s="7">
        <f t="shared" ca="1" si="0"/>
        <v>6</v>
      </c>
      <c r="C49" s="7">
        <f t="shared" ca="1" si="1"/>
        <v>4</v>
      </c>
      <c r="D49" s="7">
        <f t="shared" ca="1" si="2"/>
        <v>7</v>
      </c>
      <c r="E49" s="17" cm="1">
        <f t="array" aca="1" ref="E49" ca="1">ABS(IF(Tabla1[[#This Row],[Bodega]]&gt;0,Tabla1[[#This Row],[Bodega]]*Tabla2[Costo unitario Inventario],Tabla1[[#This Row],[Bodega]]*Tabla2[Costo unitario Deficit]))</f>
        <v>3500</v>
      </c>
      <c r="F49" s="17" cm="1">
        <f t="array" aca="1" ref="F49" ca="1">(Tabla1[[#This Row],[Venta Dia]]*Tabla2[Precio de venta])-(Tabla1[[#This Row],[Venta Dia]]*Tabla2[Costo Produccion])-Tabla1[[#This Row],[Déficit bodega]]</f>
        <v>36500</v>
      </c>
    </row>
    <row r="50" spans="1:6" x14ac:dyDescent="0.2">
      <c r="A50" s="7">
        <v>15</v>
      </c>
      <c r="B50" s="7">
        <f t="shared" ca="1" si="0"/>
        <v>5</v>
      </c>
      <c r="C50" s="7">
        <f t="shared" ca="1" si="1"/>
        <v>4</v>
      </c>
      <c r="D50" s="7">
        <f t="shared" ca="1" si="2"/>
        <v>8</v>
      </c>
      <c r="E50" s="17" cm="1">
        <f t="array" aca="1" ref="E50" ca="1">ABS(IF(Tabla1[[#This Row],[Bodega]]&gt;0,Tabla1[[#This Row],[Bodega]]*Tabla2[Costo unitario Inventario],Tabla1[[#This Row],[Bodega]]*Tabla2[Costo unitario Deficit]))</f>
        <v>4000</v>
      </c>
      <c r="F50" s="17" cm="1">
        <f t="array" aca="1" ref="F50" ca="1">(Tabla1[[#This Row],[Venta Dia]]*Tabla2[Precio de venta])-(Tabla1[[#This Row],[Venta Dia]]*Tabla2[Costo Produccion])-Tabla1[[#This Row],[Déficit bodega]]</f>
        <v>36000</v>
      </c>
    </row>
    <row r="51" spans="1:6" x14ac:dyDescent="0.2">
      <c r="A51" s="7">
        <v>16</v>
      </c>
      <c r="B51" s="7">
        <f t="shared" ca="1" si="0"/>
        <v>6</v>
      </c>
      <c r="C51" s="7">
        <f t="shared" ca="1" si="1"/>
        <v>5</v>
      </c>
      <c r="D51" s="7">
        <f t="shared" ca="1" si="2"/>
        <v>9</v>
      </c>
      <c r="E51" s="17" cm="1">
        <f t="array" aca="1" ref="E51" ca="1">ABS(IF(Tabla1[[#This Row],[Bodega]]&gt;0,Tabla1[[#This Row],[Bodega]]*Tabla2[Costo unitario Inventario],Tabla1[[#This Row],[Bodega]]*Tabla2[Costo unitario Deficit]))</f>
        <v>4500</v>
      </c>
      <c r="F51" s="17" cm="1">
        <f t="array" aca="1" ref="F51" ca="1">(Tabla1[[#This Row],[Venta Dia]]*Tabla2[Precio de venta])-(Tabla1[[#This Row],[Venta Dia]]*Tabla2[Costo Produccion])-Tabla1[[#This Row],[Déficit bodega]]</f>
        <v>45500</v>
      </c>
    </row>
    <row r="52" spans="1:6" x14ac:dyDescent="0.2">
      <c r="A52" s="7">
        <v>17</v>
      </c>
      <c r="B52" s="7">
        <f t="shared" ca="1" si="0"/>
        <v>3</v>
      </c>
      <c r="C52" s="7">
        <f t="shared" ca="1" si="1"/>
        <v>5</v>
      </c>
      <c r="D52" s="7">
        <f t="shared" ca="1" si="2"/>
        <v>7</v>
      </c>
      <c r="E52" s="17" cm="1">
        <f t="array" aca="1" ref="E52" ca="1">ABS(IF(Tabla1[[#This Row],[Bodega]]&gt;0,Tabla1[[#This Row],[Bodega]]*Tabla2[Costo unitario Inventario],Tabla1[[#This Row],[Bodega]]*Tabla2[Costo unitario Deficit]))</f>
        <v>3500</v>
      </c>
      <c r="F52" s="17" cm="1">
        <f t="array" aca="1" ref="F52" ca="1">(Tabla1[[#This Row],[Venta Dia]]*Tabla2[Precio de venta])-(Tabla1[[#This Row],[Venta Dia]]*Tabla2[Costo Produccion])-Tabla1[[#This Row],[Déficit bodega]]</f>
        <v>46500</v>
      </c>
    </row>
    <row r="53" spans="1:6" x14ac:dyDescent="0.2">
      <c r="A53" s="7">
        <v>18</v>
      </c>
      <c r="B53" s="7">
        <f t="shared" ca="1" si="0"/>
        <v>3</v>
      </c>
      <c r="C53" s="7">
        <f t="shared" ca="1" si="1"/>
        <v>6</v>
      </c>
      <c r="D53" s="7">
        <f t="shared" ca="1" si="2"/>
        <v>4</v>
      </c>
      <c r="E53" s="17" cm="1">
        <f t="array" aca="1" ref="E53" ca="1">ABS(IF(Tabla1[[#This Row],[Bodega]]&gt;0,Tabla1[[#This Row],[Bodega]]*Tabla2[Costo unitario Inventario],Tabla1[[#This Row],[Bodega]]*Tabla2[Costo unitario Deficit]))</f>
        <v>2000</v>
      </c>
      <c r="F53" s="17" cm="1">
        <f t="array" aca="1" ref="F53" ca="1">(Tabla1[[#This Row],[Venta Dia]]*Tabla2[Precio de venta])-(Tabla1[[#This Row],[Venta Dia]]*Tabla2[Costo Produccion])-Tabla1[[#This Row],[Déficit bodega]]</f>
        <v>58000</v>
      </c>
    </row>
    <row r="54" spans="1:6" x14ac:dyDescent="0.2">
      <c r="A54" s="7">
        <v>19</v>
      </c>
      <c r="B54" s="7">
        <f t="shared" ca="1" si="0"/>
        <v>4</v>
      </c>
      <c r="C54" s="7">
        <f t="shared" ca="1" si="1"/>
        <v>4</v>
      </c>
      <c r="D54" s="7">
        <f t="shared" ca="1" si="2"/>
        <v>4</v>
      </c>
      <c r="E54" s="17" cm="1">
        <f t="array" aca="1" ref="E54" ca="1">ABS(IF(Tabla1[[#This Row],[Bodega]]&gt;0,Tabla1[[#This Row],[Bodega]]*Tabla2[Costo unitario Inventario],Tabla1[[#This Row],[Bodega]]*Tabla2[Costo unitario Deficit]))</f>
        <v>2000</v>
      </c>
      <c r="F54" s="17" cm="1">
        <f t="array" aca="1" ref="F54" ca="1">(Tabla1[[#This Row],[Venta Dia]]*Tabla2[Precio de venta])-(Tabla1[[#This Row],[Venta Dia]]*Tabla2[Costo Produccion])-Tabla1[[#This Row],[Déficit bodega]]</f>
        <v>38000</v>
      </c>
    </row>
    <row r="55" spans="1:6" x14ac:dyDescent="0.2">
      <c r="A55" s="7">
        <v>20</v>
      </c>
      <c r="B55" s="7">
        <f t="shared" ca="1" si="0"/>
        <v>5</v>
      </c>
      <c r="C55" s="7">
        <f t="shared" ca="1" si="1"/>
        <v>5</v>
      </c>
      <c r="D55" s="7">
        <f t="shared" ca="1" si="2"/>
        <v>4</v>
      </c>
      <c r="E55" s="17" cm="1">
        <f t="array" aca="1" ref="E55" ca="1">ABS(IF(Tabla1[[#This Row],[Bodega]]&gt;0,Tabla1[[#This Row],[Bodega]]*Tabla2[Costo unitario Inventario],Tabla1[[#This Row],[Bodega]]*Tabla2[Costo unitario Deficit]))</f>
        <v>2000</v>
      </c>
      <c r="F55" s="17" cm="1">
        <f t="array" aca="1" ref="F55" ca="1">(Tabla1[[#This Row],[Venta Dia]]*Tabla2[Precio de venta])-(Tabla1[[#This Row],[Venta Dia]]*Tabla2[Costo Produccion])-Tabla1[[#This Row],[Déficit bodega]]</f>
        <v>48000</v>
      </c>
    </row>
    <row r="56" spans="1:6" x14ac:dyDescent="0.2">
      <c r="A56" s="7">
        <v>21</v>
      </c>
      <c r="B56" s="7">
        <f t="shared" ca="1" si="0"/>
        <v>3</v>
      </c>
      <c r="C56" s="7">
        <f t="shared" ca="1" si="1"/>
        <v>4</v>
      </c>
      <c r="D56" s="7">
        <f t="shared" ca="1" si="2"/>
        <v>3</v>
      </c>
      <c r="E56" s="17" cm="1">
        <f t="array" aca="1" ref="E56" ca="1">ABS(IF(Tabla1[[#This Row],[Bodega]]&gt;0,Tabla1[[#This Row],[Bodega]]*Tabla2[Costo unitario Inventario],Tabla1[[#This Row],[Bodega]]*Tabla2[Costo unitario Deficit]))</f>
        <v>1500</v>
      </c>
      <c r="F56" s="17" cm="1">
        <f t="array" aca="1" ref="F56" ca="1">(Tabla1[[#This Row],[Venta Dia]]*Tabla2[Precio de venta])-(Tabla1[[#This Row],[Venta Dia]]*Tabla2[Costo Produccion])-Tabla1[[#This Row],[Déficit bodega]]</f>
        <v>38500</v>
      </c>
    </row>
    <row r="57" spans="1:6" x14ac:dyDescent="0.2">
      <c r="A57" s="7">
        <v>22</v>
      </c>
      <c r="B57" s="7">
        <f t="shared" ca="1" si="0"/>
        <v>4</v>
      </c>
      <c r="C57" s="7">
        <f t="shared" ca="1" si="1"/>
        <v>5</v>
      </c>
      <c r="D57" s="7">
        <f t="shared" ca="1" si="2"/>
        <v>2</v>
      </c>
      <c r="E57" s="17" cm="1">
        <f t="array" aca="1" ref="E57" ca="1">ABS(IF(Tabla1[[#This Row],[Bodega]]&gt;0,Tabla1[[#This Row],[Bodega]]*Tabla2[Costo unitario Inventario],Tabla1[[#This Row],[Bodega]]*Tabla2[Costo unitario Deficit]))</f>
        <v>1000</v>
      </c>
      <c r="F57" s="17" cm="1">
        <f t="array" aca="1" ref="F57" ca="1">(Tabla1[[#This Row],[Venta Dia]]*Tabla2[Precio de venta])-(Tabla1[[#This Row],[Venta Dia]]*Tabla2[Costo Produccion])-Tabla1[[#This Row],[Déficit bodega]]</f>
        <v>49000</v>
      </c>
    </row>
    <row r="58" spans="1:6" x14ac:dyDescent="0.2">
      <c r="A58" s="7">
        <v>23</v>
      </c>
      <c r="B58" s="7">
        <f t="shared" ca="1" si="0"/>
        <v>7</v>
      </c>
      <c r="C58" s="7">
        <f t="shared" ca="1" si="1"/>
        <v>6</v>
      </c>
      <c r="D58" s="7">
        <f t="shared" ca="1" si="2"/>
        <v>3</v>
      </c>
      <c r="E58" s="17" cm="1">
        <f t="array" aca="1" ref="E58" ca="1">ABS(IF(Tabla1[[#This Row],[Bodega]]&gt;0,Tabla1[[#This Row],[Bodega]]*Tabla2[Costo unitario Inventario],Tabla1[[#This Row],[Bodega]]*Tabla2[Costo unitario Deficit]))</f>
        <v>1500</v>
      </c>
      <c r="F58" s="17" cm="1">
        <f t="array" aca="1" ref="F58" ca="1">(Tabla1[[#This Row],[Venta Dia]]*Tabla2[Precio de venta])-(Tabla1[[#This Row],[Venta Dia]]*Tabla2[Costo Produccion])-Tabla1[[#This Row],[Déficit bodega]]</f>
        <v>58500</v>
      </c>
    </row>
    <row r="59" spans="1:6" x14ac:dyDescent="0.2">
      <c r="A59" s="7">
        <v>24</v>
      </c>
      <c r="B59" s="7">
        <f t="shared" ca="1" si="0"/>
        <v>4</v>
      </c>
      <c r="C59" s="7">
        <f t="shared" ca="1" si="1"/>
        <v>5</v>
      </c>
      <c r="D59" s="7">
        <f t="shared" ca="1" si="2"/>
        <v>2</v>
      </c>
      <c r="E59" s="17" cm="1">
        <f t="array" aca="1" ref="E59" ca="1">ABS(IF(Tabla1[[#This Row],[Bodega]]&gt;0,Tabla1[[#This Row],[Bodega]]*Tabla2[Costo unitario Inventario],Tabla1[[#This Row],[Bodega]]*Tabla2[Costo unitario Deficit]))</f>
        <v>1000</v>
      </c>
      <c r="F59" s="17" cm="1">
        <f t="array" aca="1" ref="F59" ca="1">(Tabla1[[#This Row],[Venta Dia]]*Tabla2[Precio de venta])-(Tabla1[[#This Row],[Venta Dia]]*Tabla2[Costo Produccion])-Tabla1[[#This Row],[Déficit bodega]]</f>
        <v>49000</v>
      </c>
    </row>
    <row r="60" spans="1:6" x14ac:dyDescent="0.2">
      <c r="A60" s="7">
        <v>25</v>
      </c>
      <c r="B60" s="7">
        <f t="shared" ca="1" si="0"/>
        <v>5</v>
      </c>
      <c r="C60" s="7">
        <f t="shared" ca="1" si="1"/>
        <v>4</v>
      </c>
      <c r="D60" s="7">
        <f t="shared" ca="1" si="2"/>
        <v>3</v>
      </c>
      <c r="E60" s="17" cm="1">
        <f t="array" aca="1" ref="E60" ca="1">ABS(IF(Tabla1[[#This Row],[Bodega]]&gt;0,Tabla1[[#This Row],[Bodega]]*Tabla2[Costo unitario Inventario],Tabla1[[#This Row],[Bodega]]*Tabla2[Costo unitario Deficit]))</f>
        <v>1500</v>
      </c>
      <c r="F60" s="17" cm="1">
        <f t="array" aca="1" ref="F60" ca="1">(Tabla1[[#This Row],[Venta Dia]]*Tabla2[Precio de venta])-(Tabla1[[#This Row],[Venta Dia]]*Tabla2[Costo Produccion])-Tabla1[[#This Row],[Déficit bodega]]</f>
        <v>38500</v>
      </c>
    </row>
    <row r="61" spans="1:6" x14ac:dyDescent="0.2">
      <c r="A61" s="7">
        <v>26</v>
      </c>
      <c r="B61" s="7">
        <f t="shared" ca="1" si="0"/>
        <v>5</v>
      </c>
      <c r="C61" s="7">
        <f t="shared" ca="1" si="1"/>
        <v>5</v>
      </c>
      <c r="D61" s="7">
        <f t="shared" ca="1" si="2"/>
        <v>3</v>
      </c>
      <c r="E61" s="17" cm="1">
        <f t="array" aca="1" ref="E61" ca="1">ABS(IF(Tabla1[[#This Row],[Bodega]]&gt;0,Tabla1[[#This Row],[Bodega]]*Tabla2[Costo unitario Inventario],Tabla1[[#This Row],[Bodega]]*Tabla2[Costo unitario Deficit]))</f>
        <v>1500</v>
      </c>
      <c r="F61" s="17" cm="1">
        <f t="array" aca="1" ref="F61" ca="1">(Tabla1[[#This Row],[Venta Dia]]*Tabla2[Precio de venta])-(Tabla1[[#This Row],[Venta Dia]]*Tabla2[Costo Produccion])-Tabla1[[#This Row],[Déficit bodega]]</f>
        <v>48500</v>
      </c>
    </row>
    <row r="62" spans="1:6" x14ac:dyDescent="0.2">
      <c r="A62" s="7">
        <v>27</v>
      </c>
      <c r="B62" s="7">
        <f t="shared" ca="1" si="0"/>
        <v>5</v>
      </c>
      <c r="C62" s="7">
        <f t="shared" ca="1" si="1"/>
        <v>6</v>
      </c>
      <c r="D62" s="7">
        <f t="shared" ca="1" si="2"/>
        <v>2</v>
      </c>
      <c r="E62" s="17" cm="1">
        <f t="array" aca="1" ref="E62" ca="1">ABS(IF(Tabla1[[#This Row],[Bodega]]&gt;0,Tabla1[[#This Row],[Bodega]]*Tabla2[Costo unitario Inventario],Tabla1[[#This Row],[Bodega]]*Tabla2[Costo unitario Deficit]))</f>
        <v>1000</v>
      </c>
      <c r="F62" s="17" cm="1">
        <f t="array" aca="1" ref="F62" ca="1">(Tabla1[[#This Row],[Venta Dia]]*Tabla2[Precio de venta])-(Tabla1[[#This Row],[Venta Dia]]*Tabla2[Costo Produccion])-Tabla1[[#This Row],[Déficit bodega]]</f>
        <v>59000</v>
      </c>
    </row>
    <row r="63" spans="1:6" x14ac:dyDescent="0.2">
      <c r="A63" s="7">
        <v>28</v>
      </c>
      <c r="B63" s="7">
        <f t="shared" ca="1" si="0"/>
        <v>5</v>
      </c>
      <c r="C63" s="7">
        <f t="shared" ca="1" si="1"/>
        <v>5</v>
      </c>
      <c r="D63" s="7">
        <f t="shared" ca="1" si="2"/>
        <v>2</v>
      </c>
      <c r="E63" s="17" cm="1">
        <f t="array" aca="1" ref="E63" ca="1">ABS(IF(Tabla1[[#This Row],[Bodega]]&gt;0,Tabla1[[#This Row],[Bodega]]*Tabla2[Costo unitario Inventario],Tabla1[[#This Row],[Bodega]]*Tabla2[Costo unitario Deficit]))</f>
        <v>1000</v>
      </c>
      <c r="F63" s="17" cm="1">
        <f t="array" aca="1" ref="F63" ca="1">(Tabla1[[#This Row],[Venta Dia]]*Tabla2[Precio de venta])-(Tabla1[[#This Row],[Venta Dia]]*Tabla2[Costo Produccion])-Tabla1[[#This Row],[Déficit bodega]]</f>
        <v>49000</v>
      </c>
    </row>
    <row r="64" spans="1:6" x14ac:dyDescent="0.2">
      <c r="A64" s="7">
        <v>29</v>
      </c>
      <c r="B64" s="7">
        <f t="shared" ca="1" si="0"/>
        <v>6</v>
      </c>
      <c r="C64" s="7">
        <f ca="1">IF(RAND()&gt;=0.5,5,IF(RAND()&gt;=0.2,4,6))</f>
        <v>5</v>
      </c>
      <c r="D64" s="7">
        <f t="shared" ca="1" si="2"/>
        <v>3</v>
      </c>
      <c r="E64" s="17" cm="1">
        <f t="array" aca="1" ref="E64" ca="1">ABS(IF(Tabla1[[#This Row],[Bodega]]&gt;0,Tabla1[[#This Row],[Bodega]]*Tabla2[Costo unitario Inventario],Tabla1[[#This Row],[Bodega]]*Tabla2[Costo unitario Deficit]))</f>
        <v>1500</v>
      </c>
      <c r="F64" s="17" cm="1">
        <f t="array" aca="1" ref="F64" ca="1">(Tabla1[[#This Row],[Venta Dia]]*Tabla2[Precio de venta])-(Tabla1[[#This Row],[Venta Dia]]*Tabla2[Costo Produccion])-Tabla1[[#This Row],[Déficit bodega]]</f>
        <v>48500</v>
      </c>
    </row>
    <row r="65" spans="1:6" x14ac:dyDescent="0.2">
      <c r="A65" s="7">
        <v>30</v>
      </c>
      <c r="B65" s="7">
        <f t="shared" ca="1" si="0"/>
        <v>6</v>
      </c>
      <c r="C65" s="7">
        <f t="shared" ca="1" si="1"/>
        <v>5</v>
      </c>
      <c r="D65" s="7">
        <f t="shared" ca="1" si="2"/>
        <v>4</v>
      </c>
      <c r="E65" s="17" cm="1">
        <f t="array" aca="1" ref="E65" ca="1">ABS(IF(Tabla1[[#This Row],[Bodega]]&gt;0,Tabla1[[#This Row],[Bodega]]*Tabla2[Costo unitario Inventario],Tabla1[[#This Row],[Bodega]]*Tabla2[Costo unitario Deficit]))</f>
        <v>2000</v>
      </c>
      <c r="F65" s="17" cm="1">
        <f t="array" aca="1" ref="F65" ca="1">(Tabla1[[#This Row],[Venta Dia]]*Tabla2[Precio de venta])-(Tabla1[[#This Row],[Venta Dia]]*Tabla2[Costo Produccion])-Tabla1[[#This Row],[Déficit bodega]]</f>
        <v>48000</v>
      </c>
    </row>
    <row r="66" spans="1:6" x14ac:dyDescent="0.2">
      <c r="A66" s="7">
        <v>31</v>
      </c>
      <c r="B66" s="7">
        <f t="shared" ca="1" si="0"/>
        <v>4</v>
      </c>
      <c r="C66" s="7">
        <f t="shared" ca="1" si="1"/>
        <v>5</v>
      </c>
      <c r="D66" s="7">
        <f t="shared" ca="1" si="2"/>
        <v>3</v>
      </c>
      <c r="E66" s="17" cm="1">
        <f t="array" aca="1" ref="E66" ca="1">ABS(IF(Tabla1[[#This Row],[Bodega]]&gt;0,Tabla1[[#This Row],[Bodega]]*Tabla2[Costo unitario Inventario],Tabla1[[#This Row],[Bodega]]*Tabla2[Costo unitario Deficit]))</f>
        <v>1500</v>
      </c>
      <c r="F66" s="17" cm="1">
        <f t="array" aca="1" ref="F66" ca="1">(Tabla1[[#This Row],[Venta Dia]]*Tabla2[Precio de venta])-(Tabla1[[#This Row],[Venta Dia]]*Tabla2[Costo Produccion])-Tabla1[[#This Row],[Déficit bodega]]</f>
        <v>48500</v>
      </c>
    </row>
    <row r="67" spans="1:6" x14ac:dyDescent="0.2">
      <c r="A67" s="7">
        <v>32</v>
      </c>
      <c r="B67" s="7">
        <f t="shared" ca="1" si="0"/>
        <v>3</v>
      </c>
      <c r="C67" s="7">
        <f t="shared" ca="1" si="1"/>
        <v>5</v>
      </c>
      <c r="D67" s="7">
        <f t="shared" ca="1" si="2"/>
        <v>1</v>
      </c>
      <c r="E67" s="17" cm="1">
        <f t="array" aca="1" ref="E67" ca="1">ABS(IF(Tabla1[[#This Row],[Bodega]]&gt;0,Tabla1[[#This Row],[Bodega]]*Tabla2[Costo unitario Inventario],Tabla1[[#This Row],[Bodega]]*Tabla2[Costo unitario Deficit]))</f>
        <v>500</v>
      </c>
      <c r="F67" s="17" cm="1">
        <f t="array" aca="1" ref="F67" ca="1">(Tabla1[[#This Row],[Venta Dia]]*Tabla2[Precio de venta])-(Tabla1[[#This Row],[Venta Dia]]*Tabla2[Costo Produccion])-Tabla1[[#This Row],[Déficit bodega]]</f>
        <v>49500</v>
      </c>
    </row>
    <row r="68" spans="1:6" x14ac:dyDescent="0.2">
      <c r="A68" s="7">
        <v>33</v>
      </c>
      <c r="B68" s="7">
        <f t="shared" ca="1" si="0"/>
        <v>7</v>
      </c>
      <c r="C68" s="7">
        <f t="shared" ca="1" si="1"/>
        <v>5</v>
      </c>
      <c r="D68" s="7">
        <f t="shared" ca="1" si="2"/>
        <v>3</v>
      </c>
      <c r="E68" s="17" cm="1">
        <f t="array" aca="1" ref="E68" ca="1">ABS(IF(Tabla1[[#This Row],[Bodega]]&gt;0,Tabla1[[#This Row],[Bodega]]*Tabla2[Costo unitario Inventario],Tabla1[[#This Row],[Bodega]]*Tabla2[Costo unitario Deficit]))</f>
        <v>1500</v>
      </c>
      <c r="F68" s="17" cm="1">
        <f t="array" aca="1" ref="F68" ca="1">(Tabla1[[#This Row],[Venta Dia]]*Tabla2[Precio de venta])-(Tabla1[[#This Row],[Venta Dia]]*Tabla2[Costo Produccion])-Tabla1[[#This Row],[Déficit bodega]]</f>
        <v>48500</v>
      </c>
    </row>
    <row r="69" spans="1:6" x14ac:dyDescent="0.2">
      <c r="A69" s="7">
        <v>34</v>
      </c>
      <c r="B69" s="7">
        <f t="shared" ca="1" si="0"/>
        <v>3</v>
      </c>
      <c r="C69" s="7">
        <f t="shared" ca="1" si="1"/>
        <v>6</v>
      </c>
      <c r="D69" s="7">
        <f t="shared" ca="1" si="2"/>
        <v>0</v>
      </c>
      <c r="E69" s="17" cm="1">
        <f t="array" aca="1" ref="E69" ca="1">ABS(IF(Tabla1[[#This Row],[Bodega]]&gt;0,Tabla1[[#This Row],[Bodega]]*Tabla2[Costo unitario Inventario],Tabla1[[#This Row],[Bodega]]*Tabla2[Costo unitario Deficit]))</f>
        <v>0</v>
      </c>
      <c r="F69" s="17" cm="1">
        <f t="array" aca="1" ref="F69" ca="1">(Tabla1[[#This Row],[Venta Dia]]*Tabla2[Precio de venta])-(Tabla1[[#This Row],[Venta Dia]]*Tabla2[Costo Produccion])-Tabla1[[#This Row],[Déficit bodega]]</f>
        <v>60000</v>
      </c>
    </row>
    <row r="70" spans="1:6" x14ac:dyDescent="0.2">
      <c r="A70" s="7">
        <v>35</v>
      </c>
      <c r="B70" s="7">
        <f t="shared" ca="1" si="0"/>
        <v>5</v>
      </c>
      <c r="C70" s="7">
        <f t="shared" ca="1" si="1"/>
        <v>4</v>
      </c>
      <c r="D70" s="7">
        <f t="shared" ca="1" si="2"/>
        <v>1</v>
      </c>
      <c r="E70" s="17" cm="1">
        <f t="array" aca="1" ref="E70" ca="1">ABS(IF(Tabla1[[#This Row],[Bodega]]&gt;0,Tabla1[[#This Row],[Bodega]]*Tabla2[Costo unitario Inventario],Tabla1[[#This Row],[Bodega]]*Tabla2[Costo unitario Deficit]))</f>
        <v>500</v>
      </c>
      <c r="F70" s="17" cm="1">
        <f t="array" aca="1" ref="F70" ca="1">(Tabla1[[#This Row],[Venta Dia]]*Tabla2[Precio de venta])-(Tabla1[[#This Row],[Venta Dia]]*Tabla2[Costo Produccion])-Tabla1[[#This Row],[Déficit bodega]]</f>
        <v>39500</v>
      </c>
    </row>
    <row r="71" spans="1:6" x14ac:dyDescent="0.2">
      <c r="A71" s="7">
        <v>36</v>
      </c>
      <c r="B71" s="7">
        <f t="shared" ca="1" si="0"/>
        <v>7</v>
      </c>
      <c r="C71" s="7">
        <f t="shared" ca="1" si="1"/>
        <v>5</v>
      </c>
      <c r="D71" s="7">
        <f t="shared" ca="1" si="2"/>
        <v>3</v>
      </c>
      <c r="E71" s="17" cm="1">
        <f t="array" aca="1" ref="E71" ca="1">ABS(IF(Tabla1[[#This Row],[Bodega]]&gt;0,Tabla1[[#This Row],[Bodega]]*Tabla2[Costo unitario Inventario],Tabla1[[#This Row],[Bodega]]*Tabla2[Costo unitario Deficit]))</f>
        <v>1500</v>
      </c>
      <c r="F71" s="17" cm="1">
        <f t="array" aca="1" ref="F71" ca="1">(Tabla1[[#This Row],[Venta Dia]]*Tabla2[Precio de venta])-(Tabla1[[#This Row],[Venta Dia]]*Tabla2[Costo Produccion])-Tabla1[[#This Row],[Déficit bodega]]</f>
        <v>48500</v>
      </c>
    </row>
    <row r="72" spans="1:6" x14ac:dyDescent="0.2">
      <c r="A72" s="7">
        <v>37</v>
      </c>
      <c r="B72" s="7">
        <f t="shared" ca="1" si="0"/>
        <v>6</v>
      </c>
      <c r="C72" s="7">
        <f t="shared" ca="1" si="1"/>
        <v>4</v>
      </c>
      <c r="D72" s="7">
        <f t="shared" ca="1" si="2"/>
        <v>5</v>
      </c>
      <c r="E72" s="17" cm="1">
        <f t="array" aca="1" ref="E72" ca="1">ABS(IF(Tabla1[[#This Row],[Bodega]]&gt;0,Tabla1[[#This Row],[Bodega]]*Tabla2[Costo unitario Inventario],Tabla1[[#This Row],[Bodega]]*Tabla2[Costo unitario Deficit]))</f>
        <v>2500</v>
      </c>
      <c r="F72" s="17" cm="1">
        <f t="array" aca="1" ref="F72" ca="1">(Tabla1[[#This Row],[Venta Dia]]*Tabla2[Precio de venta])-(Tabla1[[#This Row],[Venta Dia]]*Tabla2[Costo Produccion])-Tabla1[[#This Row],[Déficit bodega]]</f>
        <v>37500</v>
      </c>
    </row>
    <row r="73" spans="1:6" x14ac:dyDescent="0.2">
      <c r="A73" s="7">
        <v>38</v>
      </c>
      <c r="B73" s="7">
        <f t="shared" ca="1" si="0"/>
        <v>5</v>
      </c>
      <c r="C73" s="7">
        <f t="shared" ca="1" si="1"/>
        <v>5</v>
      </c>
      <c r="D73" s="7">
        <f t="shared" ca="1" si="2"/>
        <v>5</v>
      </c>
      <c r="E73" s="17" cm="1">
        <f t="array" aca="1" ref="E73" ca="1">ABS(IF(Tabla1[[#This Row],[Bodega]]&gt;0,Tabla1[[#This Row],[Bodega]]*Tabla2[Costo unitario Inventario],Tabla1[[#This Row],[Bodega]]*Tabla2[Costo unitario Deficit]))</f>
        <v>2500</v>
      </c>
      <c r="F73" s="17" cm="1">
        <f t="array" aca="1" ref="F73" ca="1">(Tabla1[[#This Row],[Venta Dia]]*Tabla2[Precio de venta])-(Tabla1[[#This Row],[Venta Dia]]*Tabla2[Costo Produccion])-Tabla1[[#This Row],[Déficit bodega]]</f>
        <v>47500</v>
      </c>
    </row>
    <row r="74" spans="1:6" x14ac:dyDescent="0.2">
      <c r="A74" s="7">
        <v>39</v>
      </c>
      <c r="B74" s="7">
        <f t="shared" ca="1" si="0"/>
        <v>6</v>
      </c>
      <c r="C74" s="7">
        <f t="shared" ca="1" si="1"/>
        <v>4</v>
      </c>
      <c r="D74" s="7">
        <f t="shared" ca="1" si="2"/>
        <v>7</v>
      </c>
      <c r="E74" s="17" cm="1">
        <f t="array" aca="1" ref="E74" ca="1">ABS(IF(Tabla1[[#This Row],[Bodega]]&gt;0,Tabla1[[#This Row],[Bodega]]*Tabla2[Costo unitario Inventario],Tabla1[[#This Row],[Bodega]]*Tabla2[Costo unitario Deficit]))</f>
        <v>3500</v>
      </c>
      <c r="F74" s="17" cm="1">
        <f t="array" aca="1" ref="F74" ca="1">(Tabla1[[#This Row],[Venta Dia]]*Tabla2[Precio de venta])-(Tabla1[[#This Row],[Venta Dia]]*Tabla2[Costo Produccion])-Tabla1[[#This Row],[Déficit bodega]]</f>
        <v>36500</v>
      </c>
    </row>
    <row r="75" spans="1:6" x14ac:dyDescent="0.2">
      <c r="A75" s="7">
        <v>40</v>
      </c>
      <c r="B75" s="7">
        <f t="shared" ca="1" si="0"/>
        <v>4</v>
      </c>
      <c r="C75" s="7">
        <f t="shared" ca="1" si="1"/>
        <v>5</v>
      </c>
      <c r="D75" s="7">
        <f t="shared" ca="1" si="2"/>
        <v>6</v>
      </c>
      <c r="E75" s="17" cm="1">
        <f t="array" aca="1" ref="E75" ca="1">ABS(IF(Tabla1[[#This Row],[Bodega]]&gt;0,Tabla1[[#This Row],[Bodega]]*Tabla2[Costo unitario Inventario],Tabla1[[#This Row],[Bodega]]*Tabla2[Costo unitario Deficit]))</f>
        <v>3000</v>
      </c>
      <c r="F75" s="17" cm="1">
        <f t="array" aca="1" ref="F75" ca="1">(Tabla1[[#This Row],[Venta Dia]]*Tabla2[Precio de venta])-(Tabla1[[#This Row],[Venta Dia]]*Tabla2[Costo Produccion])-Tabla1[[#This Row],[Déficit bodega]]</f>
        <v>47000</v>
      </c>
    </row>
    <row r="76" spans="1:6" x14ac:dyDescent="0.2">
      <c r="A76" s="7">
        <v>41</v>
      </c>
      <c r="B76" s="7">
        <f t="shared" ca="1" si="0"/>
        <v>6</v>
      </c>
      <c r="C76" s="7">
        <f t="shared" ca="1" si="1"/>
        <v>4</v>
      </c>
      <c r="D76" s="7">
        <f t="shared" ca="1" si="2"/>
        <v>8</v>
      </c>
      <c r="E76" s="17" cm="1">
        <f t="array" aca="1" ref="E76" ca="1">ABS(IF(Tabla1[[#This Row],[Bodega]]&gt;0,Tabla1[[#This Row],[Bodega]]*Tabla2[Costo unitario Inventario],Tabla1[[#This Row],[Bodega]]*Tabla2[Costo unitario Deficit]))</f>
        <v>4000</v>
      </c>
      <c r="F76" s="17" cm="1">
        <f t="array" aca="1" ref="F76" ca="1">(Tabla1[[#This Row],[Venta Dia]]*Tabla2[Precio de venta])-(Tabla1[[#This Row],[Venta Dia]]*Tabla2[Costo Produccion])-Tabla1[[#This Row],[Déficit bodega]]</f>
        <v>36000</v>
      </c>
    </row>
    <row r="77" spans="1:6" x14ac:dyDescent="0.2">
      <c r="A77" s="7">
        <v>42</v>
      </c>
      <c r="B77" s="7">
        <f t="shared" ca="1" si="0"/>
        <v>3</v>
      </c>
      <c r="C77" s="7">
        <f t="shared" ca="1" si="1"/>
        <v>5</v>
      </c>
      <c r="D77" s="7">
        <f t="shared" ca="1" si="2"/>
        <v>6</v>
      </c>
      <c r="E77" s="17" cm="1">
        <f t="array" aca="1" ref="E77" ca="1">ABS(IF(Tabla1[[#This Row],[Bodega]]&gt;0,Tabla1[[#This Row],[Bodega]]*Tabla2[Costo unitario Inventario],Tabla1[[#This Row],[Bodega]]*Tabla2[Costo unitario Deficit]))</f>
        <v>3000</v>
      </c>
      <c r="F77" s="17" cm="1">
        <f t="array" aca="1" ref="F77" ca="1">(Tabla1[[#This Row],[Venta Dia]]*Tabla2[Precio de venta])-(Tabla1[[#This Row],[Venta Dia]]*Tabla2[Costo Produccion])-Tabla1[[#This Row],[Déficit bodega]]</f>
        <v>47000</v>
      </c>
    </row>
    <row r="78" spans="1:6" x14ac:dyDescent="0.2">
      <c r="A78" s="7">
        <v>43</v>
      </c>
      <c r="B78" s="7">
        <f t="shared" ca="1" si="0"/>
        <v>6</v>
      </c>
      <c r="C78" s="7">
        <f t="shared" ca="1" si="1"/>
        <v>4</v>
      </c>
      <c r="D78" s="7">
        <f t="shared" ca="1" si="2"/>
        <v>8</v>
      </c>
      <c r="E78" s="17" cm="1">
        <f t="array" aca="1" ref="E78" ca="1">ABS(IF(Tabla1[[#This Row],[Bodega]]&gt;0,Tabla1[[#This Row],[Bodega]]*Tabla2[Costo unitario Inventario],Tabla1[[#This Row],[Bodega]]*Tabla2[Costo unitario Deficit]))</f>
        <v>4000</v>
      </c>
      <c r="F78" s="17" cm="1">
        <f t="array" aca="1" ref="F78" ca="1">(Tabla1[[#This Row],[Venta Dia]]*Tabla2[Precio de venta])-(Tabla1[[#This Row],[Venta Dia]]*Tabla2[Costo Produccion])-Tabla1[[#This Row],[Déficit bodega]]</f>
        <v>36000</v>
      </c>
    </row>
    <row r="79" spans="1:6" x14ac:dyDescent="0.2">
      <c r="A79" s="7">
        <v>44</v>
      </c>
      <c r="B79" s="7">
        <f t="shared" ca="1" si="0"/>
        <v>6</v>
      </c>
      <c r="C79" s="7">
        <f t="shared" ca="1" si="1"/>
        <v>5</v>
      </c>
      <c r="D79" s="7">
        <f t="shared" ca="1" si="2"/>
        <v>9</v>
      </c>
      <c r="E79" s="17" cm="1">
        <f t="array" aca="1" ref="E79" ca="1">ABS(IF(Tabla1[[#This Row],[Bodega]]&gt;0,Tabla1[[#This Row],[Bodega]]*Tabla2[Costo unitario Inventario],Tabla1[[#This Row],[Bodega]]*Tabla2[Costo unitario Deficit]))</f>
        <v>4500</v>
      </c>
      <c r="F79" s="17" cm="1">
        <f t="array" aca="1" ref="F79" ca="1">(Tabla1[[#This Row],[Venta Dia]]*Tabla2[Precio de venta])-(Tabla1[[#This Row],[Venta Dia]]*Tabla2[Costo Produccion])-Tabla1[[#This Row],[Déficit bodega]]</f>
        <v>45500</v>
      </c>
    </row>
    <row r="80" spans="1:6" x14ac:dyDescent="0.2">
      <c r="A80" s="7">
        <v>45</v>
      </c>
      <c r="B80" s="7">
        <f t="shared" ca="1" si="0"/>
        <v>7</v>
      </c>
      <c r="C80" s="7">
        <f t="shared" ca="1" si="1"/>
        <v>4</v>
      </c>
      <c r="D80" s="7">
        <f t="shared" ca="1" si="2"/>
        <v>12</v>
      </c>
      <c r="E80" s="17" cm="1">
        <f t="array" aca="1" ref="E80" ca="1">ABS(IF(Tabla1[[#This Row],[Bodega]]&gt;0,Tabla1[[#This Row],[Bodega]]*Tabla2[Costo unitario Inventario],Tabla1[[#This Row],[Bodega]]*Tabla2[Costo unitario Deficit]))</f>
        <v>6000</v>
      </c>
      <c r="F80" s="17" cm="1">
        <f t="array" aca="1" ref="F80" ca="1">(Tabla1[[#This Row],[Venta Dia]]*Tabla2[Precio de venta])-(Tabla1[[#This Row],[Venta Dia]]*Tabla2[Costo Produccion])-Tabla1[[#This Row],[Déficit bodega]]</f>
        <v>34000</v>
      </c>
    </row>
    <row r="81" spans="1:6" x14ac:dyDescent="0.2">
      <c r="A81" s="7">
        <v>46</v>
      </c>
      <c r="B81" s="7">
        <f t="shared" ca="1" si="0"/>
        <v>3</v>
      </c>
      <c r="C81" s="7">
        <f t="shared" ca="1" si="1"/>
        <v>4</v>
      </c>
      <c r="D81" s="7">
        <f t="shared" ca="1" si="2"/>
        <v>11</v>
      </c>
      <c r="E81" s="17" cm="1">
        <f t="array" aca="1" ref="E81" ca="1">ABS(IF(Tabla1[[#This Row],[Bodega]]&gt;0,Tabla1[[#This Row],[Bodega]]*Tabla2[Costo unitario Inventario],Tabla1[[#This Row],[Bodega]]*Tabla2[Costo unitario Deficit]))</f>
        <v>5500</v>
      </c>
      <c r="F81" s="17" cm="1">
        <f t="array" aca="1" ref="F81" ca="1">(Tabla1[[#This Row],[Venta Dia]]*Tabla2[Precio de venta])-(Tabla1[[#This Row],[Venta Dia]]*Tabla2[Costo Produccion])-Tabla1[[#This Row],[Déficit bodega]]</f>
        <v>34500</v>
      </c>
    </row>
    <row r="82" spans="1:6" x14ac:dyDescent="0.2">
      <c r="A82" s="7">
        <v>47</v>
      </c>
      <c r="B82" s="7">
        <f t="shared" ca="1" si="0"/>
        <v>6</v>
      </c>
      <c r="C82" s="7">
        <f t="shared" ca="1" si="1"/>
        <v>5</v>
      </c>
      <c r="D82" s="7">
        <f t="shared" ca="1" si="2"/>
        <v>12</v>
      </c>
      <c r="E82" s="17" cm="1">
        <f t="array" aca="1" ref="E82" ca="1">ABS(IF(Tabla1[[#This Row],[Bodega]]&gt;0,Tabla1[[#This Row],[Bodega]]*Tabla2[Costo unitario Inventario],Tabla1[[#This Row],[Bodega]]*Tabla2[Costo unitario Deficit]))</f>
        <v>6000</v>
      </c>
      <c r="F82" s="17" cm="1">
        <f t="array" aca="1" ref="F82" ca="1">(Tabla1[[#This Row],[Venta Dia]]*Tabla2[Precio de venta])-(Tabla1[[#This Row],[Venta Dia]]*Tabla2[Costo Produccion])-Tabla1[[#This Row],[Déficit bodega]]</f>
        <v>44000</v>
      </c>
    </row>
    <row r="83" spans="1:6" x14ac:dyDescent="0.2">
      <c r="A83" s="7">
        <v>48</v>
      </c>
      <c r="B83" s="7">
        <f t="shared" ca="1" si="0"/>
        <v>7</v>
      </c>
      <c r="C83" s="7">
        <f t="shared" ca="1" si="1"/>
        <v>5</v>
      </c>
      <c r="D83" s="7">
        <f t="shared" ca="1" si="2"/>
        <v>14</v>
      </c>
      <c r="E83" s="17" cm="1">
        <f t="array" aca="1" ref="E83" ca="1">ABS(IF(Tabla1[[#This Row],[Bodega]]&gt;0,Tabla1[[#This Row],[Bodega]]*Tabla2[Costo unitario Inventario],Tabla1[[#This Row],[Bodega]]*Tabla2[Costo unitario Deficit]))</f>
        <v>7000</v>
      </c>
      <c r="F83" s="17" cm="1">
        <f t="array" aca="1" ref="F83" ca="1">(Tabla1[[#This Row],[Venta Dia]]*Tabla2[Precio de venta])-(Tabla1[[#This Row],[Venta Dia]]*Tabla2[Costo Produccion])-Tabla1[[#This Row],[Déficit bodega]]</f>
        <v>43000</v>
      </c>
    </row>
    <row r="84" spans="1:6" x14ac:dyDescent="0.2">
      <c r="A84" s="7">
        <v>49</v>
      </c>
      <c r="B84" s="7">
        <f t="shared" ca="1" si="0"/>
        <v>3</v>
      </c>
      <c r="C84" s="7">
        <f t="shared" ca="1" si="1"/>
        <v>4</v>
      </c>
      <c r="D84" s="7">
        <f t="shared" ca="1" si="2"/>
        <v>13</v>
      </c>
      <c r="E84" s="17" cm="1">
        <f t="array" aca="1" ref="E84" ca="1">ABS(IF(Tabla1[[#This Row],[Bodega]]&gt;0,Tabla1[[#This Row],[Bodega]]*Tabla2[Costo unitario Inventario],Tabla1[[#This Row],[Bodega]]*Tabla2[Costo unitario Deficit]))</f>
        <v>6500</v>
      </c>
      <c r="F84" s="17" cm="1">
        <f t="array" aca="1" ref="F84" ca="1">(Tabla1[[#This Row],[Venta Dia]]*Tabla2[Precio de venta])-(Tabla1[[#This Row],[Venta Dia]]*Tabla2[Costo Produccion])-Tabla1[[#This Row],[Déficit bodega]]</f>
        <v>33500</v>
      </c>
    </row>
    <row r="85" spans="1:6" x14ac:dyDescent="0.2">
      <c r="A85" s="7">
        <v>50</v>
      </c>
      <c r="B85" s="7">
        <f t="shared" ca="1" si="0"/>
        <v>6</v>
      </c>
      <c r="C85" s="7">
        <f t="shared" ca="1" si="1"/>
        <v>6</v>
      </c>
      <c r="D85" s="7">
        <f t="shared" ca="1" si="2"/>
        <v>13</v>
      </c>
      <c r="E85" s="17" cm="1">
        <f t="array" aca="1" ref="E85" ca="1">ABS(IF(Tabla1[[#This Row],[Bodega]]&gt;0,Tabla1[[#This Row],[Bodega]]*Tabla2[Costo unitario Inventario],Tabla1[[#This Row],[Bodega]]*Tabla2[Costo unitario Deficit]))</f>
        <v>6500</v>
      </c>
      <c r="F85" s="17" cm="1">
        <f t="array" aca="1" ref="F85" ca="1">(Tabla1[[#This Row],[Venta Dia]]*Tabla2[Precio de venta])-(Tabla1[[#This Row],[Venta Dia]]*Tabla2[Costo Produccion])-Tabla1[[#This Row],[Déficit bodega]]</f>
        <v>53500</v>
      </c>
    </row>
    <row r="86" spans="1:6" x14ac:dyDescent="0.2">
      <c r="A86" s="7">
        <v>51</v>
      </c>
      <c r="B86" s="7">
        <f t="shared" ca="1" si="0"/>
        <v>3</v>
      </c>
      <c r="C86" s="7">
        <f t="shared" ca="1" si="1"/>
        <v>5</v>
      </c>
      <c r="D86" s="7">
        <f t="shared" ca="1" si="2"/>
        <v>11</v>
      </c>
      <c r="E86" s="17" cm="1">
        <f t="array" aca="1" ref="E86" ca="1">ABS(IF(Tabla1[[#This Row],[Bodega]]&gt;0,Tabla1[[#This Row],[Bodega]]*Tabla2[Costo unitario Inventario],Tabla1[[#This Row],[Bodega]]*Tabla2[Costo unitario Deficit]))</f>
        <v>5500</v>
      </c>
      <c r="F86" s="17" cm="1">
        <f t="array" aca="1" ref="F86" ca="1">(Tabla1[[#This Row],[Venta Dia]]*Tabla2[Precio de venta])-(Tabla1[[#This Row],[Venta Dia]]*Tabla2[Costo Produccion])-Tabla1[[#This Row],[Déficit bodega]]</f>
        <v>44500</v>
      </c>
    </row>
    <row r="87" spans="1:6" x14ac:dyDescent="0.2">
      <c r="A87" s="7">
        <v>52</v>
      </c>
      <c r="B87" s="7">
        <f t="shared" ca="1" si="0"/>
        <v>5</v>
      </c>
      <c r="C87" s="7">
        <f t="shared" ca="1" si="1"/>
        <v>6</v>
      </c>
      <c r="D87" s="7">
        <f t="shared" ca="1" si="2"/>
        <v>10</v>
      </c>
      <c r="E87" s="17" cm="1">
        <f t="array" aca="1" ref="E87" ca="1">ABS(IF(Tabla1[[#This Row],[Bodega]]&gt;0,Tabla1[[#This Row],[Bodega]]*Tabla2[Costo unitario Inventario],Tabla1[[#This Row],[Bodega]]*Tabla2[Costo unitario Deficit]))</f>
        <v>5000</v>
      </c>
      <c r="F87" s="17" cm="1">
        <f t="array" aca="1" ref="F87" ca="1">(Tabla1[[#This Row],[Venta Dia]]*Tabla2[Precio de venta])-(Tabla1[[#This Row],[Venta Dia]]*Tabla2[Costo Produccion])-Tabla1[[#This Row],[Déficit bodega]]</f>
        <v>55000</v>
      </c>
    </row>
    <row r="88" spans="1:6" x14ac:dyDescent="0.2">
      <c r="A88" s="7">
        <v>53</v>
      </c>
      <c r="B88" s="7">
        <f t="shared" ca="1" si="0"/>
        <v>5</v>
      </c>
      <c r="C88" s="7">
        <f t="shared" ca="1" si="1"/>
        <v>4</v>
      </c>
      <c r="D88" s="7">
        <f t="shared" ca="1" si="2"/>
        <v>11</v>
      </c>
      <c r="E88" s="17" cm="1">
        <f t="array" aca="1" ref="E88" ca="1">ABS(IF(Tabla1[[#This Row],[Bodega]]&gt;0,Tabla1[[#This Row],[Bodega]]*Tabla2[Costo unitario Inventario],Tabla1[[#This Row],[Bodega]]*Tabla2[Costo unitario Deficit]))</f>
        <v>5500</v>
      </c>
      <c r="F88" s="17" cm="1">
        <f t="array" aca="1" ref="F88" ca="1">(Tabla1[[#This Row],[Venta Dia]]*Tabla2[Precio de venta])-(Tabla1[[#This Row],[Venta Dia]]*Tabla2[Costo Produccion])-Tabla1[[#This Row],[Déficit bodega]]</f>
        <v>34500</v>
      </c>
    </row>
    <row r="89" spans="1:6" x14ac:dyDescent="0.2">
      <c r="A89" s="7">
        <v>54</v>
      </c>
      <c r="B89" s="7">
        <f t="shared" ca="1" si="0"/>
        <v>6</v>
      </c>
      <c r="C89" s="7">
        <f t="shared" ca="1" si="1"/>
        <v>5</v>
      </c>
      <c r="D89" s="7">
        <f t="shared" ca="1" si="2"/>
        <v>12</v>
      </c>
      <c r="E89" s="17" cm="1">
        <f t="array" aca="1" ref="E89" ca="1">ABS(IF(Tabla1[[#This Row],[Bodega]]&gt;0,Tabla1[[#This Row],[Bodega]]*Tabla2[Costo unitario Inventario],Tabla1[[#This Row],[Bodega]]*Tabla2[Costo unitario Deficit]))</f>
        <v>6000</v>
      </c>
      <c r="F89" s="17" cm="1">
        <f t="array" aca="1" ref="F89" ca="1">(Tabla1[[#This Row],[Venta Dia]]*Tabla2[Precio de venta])-(Tabla1[[#This Row],[Venta Dia]]*Tabla2[Costo Produccion])-Tabla1[[#This Row],[Déficit bodega]]</f>
        <v>44000</v>
      </c>
    </row>
    <row r="90" spans="1:6" x14ac:dyDescent="0.2">
      <c r="A90" s="7">
        <v>55</v>
      </c>
      <c r="B90" s="7">
        <f t="shared" ca="1" si="0"/>
        <v>3</v>
      </c>
      <c r="C90" s="7">
        <f t="shared" ca="1" si="1"/>
        <v>4</v>
      </c>
      <c r="D90" s="7">
        <f t="shared" ca="1" si="2"/>
        <v>11</v>
      </c>
      <c r="E90" s="17" cm="1">
        <f t="array" aca="1" ref="E90" ca="1">ABS(IF(Tabla1[[#This Row],[Bodega]]&gt;0,Tabla1[[#This Row],[Bodega]]*Tabla2[Costo unitario Inventario],Tabla1[[#This Row],[Bodega]]*Tabla2[Costo unitario Deficit]))</f>
        <v>5500</v>
      </c>
      <c r="F90" s="17" cm="1">
        <f t="array" aca="1" ref="F90" ca="1">(Tabla1[[#This Row],[Venta Dia]]*Tabla2[Precio de venta])-(Tabla1[[#This Row],[Venta Dia]]*Tabla2[Costo Produccion])-Tabla1[[#This Row],[Déficit bodega]]</f>
        <v>34500</v>
      </c>
    </row>
    <row r="91" spans="1:6" x14ac:dyDescent="0.2">
      <c r="A91" s="7">
        <v>56</v>
      </c>
      <c r="B91" s="7">
        <f t="shared" ca="1" si="0"/>
        <v>3</v>
      </c>
      <c r="C91" s="7">
        <f t="shared" ca="1" si="1"/>
        <v>5</v>
      </c>
      <c r="D91" s="7">
        <f t="shared" ca="1" si="2"/>
        <v>9</v>
      </c>
      <c r="E91" s="17" cm="1">
        <f t="array" aca="1" ref="E91" ca="1">ABS(IF(Tabla1[[#This Row],[Bodega]]&gt;0,Tabla1[[#This Row],[Bodega]]*Tabla2[Costo unitario Inventario],Tabla1[[#This Row],[Bodega]]*Tabla2[Costo unitario Deficit]))</f>
        <v>4500</v>
      </c>
      <c r="F91" s="17" cm="1">
        <f t="array" aca="1" ref="F91" ca="1">(Tabla1[[#This Row],[Venta Dia]]*Tabla2[Precio de venta])-(Tabla1[[#This Row],[Venta Dia]]*Tabla2[Costo Produccion])-Tabla1[[#This Row],[Déficit bodega]]</f>
        <v>45500</v>
      </c>
    </row>
    <row r="92" spans="1:6" x14ac:dyDescent="0.2">
      <c r="A92" s="7">
        <v>57</v>
      </c>
      <c r="B92" s="7">
        <f t="shared" ca="1" si="0"/>
        <v>7</v>
      </c>
      <c r="C92" s="7">
        <f t="shared" ca="1" si="1"/>
        <v>5</v>
      </c>
      <c r="D92" s="7">
        <f t="shared" ca="1" si="2"/>
        <v>11</v>
      </c>
      <c r="E92" s="17" cm="1">
        <f t="array" aca="1" ref="E92" ca="1">ABS(IF(Tabla1[[#This Row],[Bodega]]&gt;0,Tabla1[[#This Row],[Bodega]]*Tabla2[Costo unitario Inventario],Tabla1[[#This Row],[Bodega]]*Tabla2[Costo unitario Deficit]))</f>
        <v>5500</v>
      </c>
      <c r="F92" s="17" cm="1">
        <f t="array" aca="1" ref="F92" ca="1">(Tabla1[[#This Row],[Venta Dia]]*Tabla2[Precio de venta])-(Tabla1[[#This Row],[Venta Dia]]*Tabla2[Costo Produccion])-Tabla1[[#This Row],[Déficit bodega]]</f>
        <v>44500</v>
      </c>
    </row>
    <row r="93" spans="1:6" x14ac:dyDescent="0.2">
      <c r="A93" s="7">
        <v>58</v>
      </c>
      <c r="B93" s="7">
        <f t="shared" ca="1" si="0"/>
        <v>4</v>
      </c>
      <c r="C93" s="7">
        <f t="shared" ca="1" si="1"/>
        <v>5</v>
      </c>
      <c r="D93" s="7">
        <f t="shared" ca="1" si="2"/>
        <v>10</v>
      </c>
      <c r="E93" s="17" cm="1">
        <f t="array" aca="1" ref="E93" ca="1">ABS(IF(Tabla1[[#This Row],[Bodega]]&gt;0,Tabla1[[#This Row],[Bodega]]*Tabla2[Costo unitario Inventario],Tabla1[[#This Row],[Bodega]]*Tabla2[Costo unitario Deficit]))</f>
        <v>5000</v>
      </c>
      <c r="F93" s="17" cm="1">
        <f t="array" aca="1" ref="F93" ca="1">(Tabla1[[#This Row],[Venta Dia]]*Tabla2[Precio de venta])-(Tabla1[[#This Row],[Venta Dia]]*Tabla2[Costo Produccion])-Tabla1[[#This Row],[Déficit bodega]]</f>
        <v>45000</v>
      </c>
    </row>
    <row r="94" spans="1:6" x14ac:dyDescent="0.2">
      <c r="A94" s="7">
        <v>59</v>
      </c>
      <c r="B94" s="7">
        <f t="shared" ca="1" si="0"/>
        <v>7</v>
      </c>
      <c r="C94" s="7">
        <f t="shared" ca="1" si="1"/>
        <v>6</v>
      </c>
      <c r="D94" s="7">
        <f t="shared" ca="1" si="2"/>
        <v>11</v>
      </c>
      <c r="E94" s="17" cm="1">
        <f t="array" aca="1" ref="E94" ca="1">ABS(IF(Tabla1[[#This Row],[Bodega]]&gt;0,Tabla1[[#This Row],[Bodega]]*Tabla2[Costo unitario Inventario],Tabla1[[#This Row],[Bodega]]*Tabla2[Costo unitario Deficit]))</f>
        <v>5500</v>
      </c>
      <c r="F94" s="17" cm="1">
        <f t="array" aca="1" ref="F94" ca="1">(Tabla1[[#This Row],[Venta Dia]]*Tabla2[Precio de venta])-(Tabla1[[#This Row],[Venta Dia]]*Tabla2[Costo Produccion])-Tabla1[[#This Row],[Déficit bodega]]</f>
        <v>54500</v>
      </c>
    </row>
    <row r="95" spans="1:6" x14ac:dyDescent="0.2">
      <c r="A95" s="7">
        <v>60</v>
      </c>
      <c r="B95" s="7">
        <f t="shared" ca="1" si="0"/>
        <v>4</v>
      </c>
      <c r="C95" s="7">
        <f t="shared" ca="1" si="1"/>
        <v>5</v>
      </c>
      <c r="D95" s="7">
        <f t="shared" ca="1" si="2"/>
        <v>10</v>
      </c>
      <c r="E95" s="17" cm="1">
        <f t="array" aca="1" ref="E95" ca="1">ABS(IF(Tabla1[[#This Row],[Bodega]]&gt;0,Tabla1[[#This Row],[Bodega]]*Tabla2[Costo unitario Inventario],Tabla1[[#This Row],[Bodega]]*Tabla2[Costo unitario Deficit]))</f>
        <v>5000</v>
      </c>
      <c r="F95" s="17" cm="1">
        <f t="array" aca="1" ref="F95" ca="1">(Tabla1[[#This Row],[Venta Dia]]*Tabla2[Precio de venta])-(Tabla1[[#This Row],[Venta Dia]]*Tabla2[Costo Produccion])-Tabla1[[#This Row],[Déficit bodega]]</f>
        <v>45000</v>
      </c>
    </row>
    <row r="96" spans="1:6" x14ac:dyDescent="0.2">
      <c r="A96" s="7">
        <v>61</v>
      </c>
      <c r="B96" s="7">
        <f t="shared" ca="1" si="0"/>
        <v>7</v>
      </c>
      <c r="C96" s="7">
        <f t="shared" ca="1" si="1"/>
        <v>5</v>
      </c>
      <c r="D96" s="7">
        <f t="shared" ca="1" si="2"/>
        <v>12</v>
      </c>
      <c r="E96" s="17" cm="1">
        <f t="array" aca="1" ref="E96" ca="1">ABS(IF(Tabla1[[#This Row],[Bodega]]&gt;0,Tabla1[[#This Row],[Bodega]]*Tabla2[Costo unitario Inventario],Tabla1[[#This Row],[Bodega]]*Tabla2[Costo unitario Deficit]))</f>
        <v>6000</v>
      </c>
      <c r="F96" s="17" cm="1">
        <f t="array" aca="1" ref="F96" ca="1">(Tabla1[[#This Row],[Venta Dia]]*Tabla2[Precio de venta])-(Tabla1[[#This Row],[Venta Dia]]*Tabla2[Costo Produccion])-Tabla1[[#This Row],[Déficit bodega]]</f>
        <v>44000</v>
      </c>
    </row>
    <row r="97" spans="1:6" x14ac:dyDescent="0.2">
      <c r="A97" s="7">
        <v>62</v>
      </c>
      <c r="B97" s="7">
        <f t="shared" ca="1" si="0"/>
        <v>4</v>
      </c>
      <c r="C97" s="7">
        <f t="shared" ca="1" si="1"/>
        <v>6</v>
      </c>
      <c r="D97" s="7">
        <f t="shared" ca="1" si="2"/>
        <v>10</v>
      </c>
      <c r="E97" s="17" cm="1">
        <f t="array" aca="1" ref="E97" ca="1">ABS(IF(Tabla1[[#This Row],[Bodega]]&gt;0,Tabla1[[#This Row],[Bodega]]*Tabla2[Costo unitario Inventario],Tabla1[[#This Row],[Bodega]]*Tabla2[Costo unitario Deficit]))</f>
        <v>5000</v>
      </c>
      <c r="F97" s="17" cm="1">
        <f t="array" aca="1" ref="F97" ca="1">(Tabla1[[#This Row],[Venta Dia]]*Tabla2[Precio de venta])-(Tabla1[[#This Row],[Venta Dia]]*Tabla2[Costo Produccion])-Tabla1[[#This Row],[Déficit bodega]]</f>
        <v>55000</v>
      </c>
    </row>
    <row r="98" spans="1:6" x14ac:dyDescent="0.2">
      <c r="A98" s="7">
        <v>63</v>
      </c>
      <c r="B98" s="7">
        <f t="shared" ca="1" si="0"/>
        <v>4</v>
      </c>
      <c r="C98" s="7">
        <f t="shared" ca="1" si="1"/>
        <v>4</v>
      </c>
      <c r="D98" s="7">
        <f t="shared" ca="1" si="2"/>
        <v>10</v>
      </c>
      <c r="E98" s="17" cm="1">
        <f t="array" aca="1" ref="E98" ca="1">ABS(IF(Tabla1[[#This Row],[Bodega]]&gt;0,Tabla1[[#This Row],[Bodega]]*Tabla2[Costo unitario Inventario],Tabla1[[#This Row],[Bodega]]*Tabla2[Costo unitario Deficit]))</f>
        <v>5000</v>
      </c>
      <c r="F98" s="17" cm="1">
        <f t="array" aca="1" ref="F98" ca="1">(Tabla1[[#This Row],[Venta Dia]]*Tabla2[Precio de venta])-(Tabla1[[#This Row],[Venta Dia]]*Tabla2[Costo Produccion])-Tabla1[[#This Row],[Déficit bodega]]</f>
        <v>35000</v>
      </c>
    </row>
    <row r="99" spans="1:6" x14ac:dyDescent="0.2">
      <c r="A99" s="7">
        <v>64</v>
      </c>
      <c r="B99" s="7">
        <f t="shared" ca="1" si="0"/>
        <v>5</v>
      </c>
      <c r="C99" s="7">
        <f t="shared" ca="1" si="1"/>
        <v>5</v>
      </c>
      <c r="D99" s="7">
        <f t="shared" ca="1" si="2"/>
        <v>10</v>
      </c>
      <c r="E99" s="17" cm="1">
        <f t="array" aca="1" ref="E99" ca="1">ABS(IF(Tabla1[[#This Row],[Bodega]]&gt;0,Tabla1[[#This Row],[Bodega]]*Tabla2[Costo unitario Inventario],Tabla1[[#This Row],[Bodega]]*Tabla2[Costo unitario Deficit]))</f>
        <v>5000</v>
      </c>
      <c r="F99" s="17" cm="1">
        <f t="array" aca="1" ref="F99" ca="1">(Tabla1[[#This Row],[Venta Dia]]*Tabla2[Precio de venta])-(Tabla1[[#This Row],[Venta Dia]]*Tabla2[Costo Produccion])-Tabla1[[#This Row],[Déficit bodega]]</f>
        <v>45000</v>
      </c>
    </row>
    <row r="100" spans="1:6" x14ac:dyDescent="0.2">
      <c r="A100" s="7">
        <v>65</v>
      </c>
      <c r="B100" s="7">
        <f t="shared" ref="B100:B163" ca="1" si="3">RANDBETWEEN($A$33,$B$33)</f>
        <v>3</v>
      </c>
      <c r="C100" s="7">
        <f t="shared" ca="1" si="1"/>
        <v>5</v>
      </c>
      <c r="D100" s="7">
        <f t="shared" ca="1" si="2"/>
        <v>8</v>
      </c>
      <c r="E100" s="17" cm="1">
        <f t="array" aca="1" ref="E100" ca="1">ABS(IF(Tabla1[[#This Row],[Bodega]]&gt;0,Tabla1[[#This Row],[Bodega]]*Tabla2[Costo unitario Inventario],Tabla1[[#This Row],[Bodega]]*Tabla2[Costo unitario Deficit]))</f>
        <v>4000</v>
      </c>
      <c r="F100" s="17" cm="1">
        <f t="array" aca="1" ref="F100" ca="1">(Tabla1[[#This Row],[Venta Dia]]*Tabla2[Precio de venta])-(Tabla1[[#This Row],[Venta Dia]]*Tabla2[Costo Produccion])-Tabla1[[#This Row],[Déficit bodega]]</f>
        <v>46000</v>
      </c>
    </row>
    <row r="101" spans="1:6" x14ac:dyDescent="0.2">
      <c r="A101" s="7">
        <v>66</v>
      </c>
      <c r="B101" s="7">
        <f t="shared" ca="1" si="3"/>
        <v>5</v>
      </c>
      <c r="C101" s="7">
        <f t="shared" ref="C101:C164" ca="1" si="4">IF(RAND()&gt;=0.5,5,IF(RAND()&gt;=0.2,4,6))</f>
        <v>5</v>
      </c>
      <c r="D101" s="7">
        <f t="shared" ca="1" si="2"/>
        <v>8</v>
      </c>
      <c r="E101" s="17" cm="1">
        <f t="array" aca="1" ref="E101" ca="1">ABS(IF(Tabla1[[#This Row],[Bodega]]&gt;0,Tabla1[[#This Row],[Bodega]]*Tabla2[Costo unitario Inventario],Tabla1[[#This Row],[Bodega]]*Tabla2[Costo unitario Deficit]))</f>
        <v>4000</v>
      </c>
      <c r="F101" s="17" cm="1">
        <f t="array" aca="1" ref="F101" ca="1">(Tabla1[[#This Row],[Venta Dia]]*Tabla2[Precio de venta])-(Tabla1[[#This Row],[Venta Dia]]*Tabla2[Costo Produccion])-Tabla1[[#This Row],[Déficit bodega]]</f>
        <v>46000</v>
      </c>
    </row>
    <row r="102" spans="1:6" x14ac:dyDescent="0.2">
      <c r="A102" s="7">
        <v>67</v>
      </c>
      <c r="B102" s="7">
        <f t="shared" ca="1" si="3"/>
        <v>4</v>
      </c>
      <c r="C102" s="7">
        <f t="shared" ca="1" si="4"/>
        <v>4</v>
      </c>
      <c r="D102" s="7">
        <f t="shared" ref="D102:D165" ca="1" si="5">D101+B102-C102</f>
        <v>8</v>
      </c>
      <c r="E102" s="17" cm="1">
        <f t="array" aca="1" ref="E102" ca="1">ABS(IF(Tabla1[[#This Row],[Bodega]]&gt;0,Tabla1[[#This Row],[Bodega]]*Tabla2[Costo unitario Inventario],Tabla1[[#This Row],[Bodega]]*Tabla2[Costo unitario Deficit]))</f>
        <v>4000</v>
      </c>
      <c r="F102" s="17" cm="1">
        <f t="array" aca="1" ref="F102" ca="1">(Tabla1[[#This Row],[Venta Dia]]*Tabla2[Precio de venta])-(Tabla1[[#This Row],[Venta Dia]]*Tabla2[Costo Produccion])-Tabla1[[#This Row],[Déficit bodega]]</f>
        <v>36000</v>
      </c>
    </row>
    <row r="103" spans="1:6" x14ac:dyDescent="0.2">
      <c r="A103" s="7">
        <v>68</v>
      </c>
      <c r="B103" s="7">
        <f t="shared" ca="1" si="3"/>
        <v>5</v>
      </c>
      <c r="C103" s="7">
        <f t="shared" ca="1" si="4"/>
        <v>6</v>
      </c>
      <c r="D103" s="7">
        <f t="shared" ca="1" si="5"/>
        <v>7</v>
      </c>
      <c r="E103" s="17" cm="1">
        <f t="array" aca="1" ref="E103" ca="1">ABS(IF(Tabla1[[#This Row],[Bodega]]&gt;0,Tabla1[[#This Row],[Bodega]]*Tabla2[Costo unitario Inventario],Tabla1[[#This Row],[Bodega]]*Tabla2[Costo unitario Deficit]))</f>
        <v>3500</v>
      </c>
      <c r="F103" s="17" cm="1">
        <f t="array" aca="1" ref="F103" ca="1">(Tabla1[[#This Row],[Venta Dia]]*Tabla2[Precio de venta])-(Tabla1[[#This Row],[Venta Dia]]*Tabla2[Costo Produccion])-Tabla1[[#This Row],[Déficit bodega]]</f>
        <v>56500</v>
      </c>
    </row>
    <row r="104" spans="1:6" x14ac:dyDescent="0.2">
      <c r="A104" s="7">
        <v>69</v>
      </c>
      <c r="B104" s="7">
        <f t="shared" ca="1" si="3"/>
        <v>6</v>
      </c>
      <c r="C104" s="7">
        <f t="shared" ca="1" si="4"/>
        <v>5</v>
      </c>
      <c r="D104" s="7">
        <f t="shared" ca="1" si="5"/>
        <v>8</v>
      </c>
      <c r="E104" s="17" cm="1">
        <f t="array" aca="1" ref="E104" ca="1">ABS(IF(Tabla1[[#This Row],[Bodega]]&gt;0,Tabla1[[#This Row],[Bodega]]*Tabla2[Costo unitario Inventario],Tabla1[[#This Row],[Bodega]]*Tabla2[Costo unitario Deficit]))</f>
        <v>4000</v>
      </c>
      <c r="F104" s="17" cm="1">
        <f t="array" aca="1" ref="F104" ca="1">(Tabla1[[#This Row],[Venta Dia]]*Tabla2[Precio de venta])-(Tabla1[[#This Row],[Venta Dia]]*Tabla2[Costo Produccion])-Tabla1[[#This Row],[Déficit bodega]]</f>
        <v>46000</v>
      </c>
    </row>
    <row r="105" spans="1:6" x14ac:dyDescent="0.2">
      <c r="A105" s="7">
        <v>70</v>
      </c>
      <c r="B105" s="7">
        <f t="shared" ca="1" si="3"/>
        <v>7</v>
      </c>
      <c r="C105" s="7">
        <f t="shared" ca="1" si="4"/>
        <v>4</v>
      </c>
      <c r="D105" s="7">
        <f t="shared" ca="1" si="5"/>
        <v>11</v>
      </c>
      <c r="E105" s="17" cm="1">
        <f t="array" aca="1" ref="E105" ca="1">ABS(IF(Tabla1[[#This Row],[Bodega]]&gt;0,Tabla1[[#This Row],[Bodega]]*Tabla2[Costo unitario Inventario],Tabla1[[#This Row],[Bodega]]*Tabla2[Costo unitario Deficit]))</f>
        <v>5500</v>
      </c>
      <c r="F105" s="17" cm="1">
        <f t="array" aca="1" ref="F105" ca="1">(Tabla1[[#This Row],[Venta Dia]]*Tabla2[Precio de venta])-(Tabla1[[#This Row],[Venta Dia]]*Tabla2[Costo Produccion])-Tabla1[[#This Row],[Déficit bodega]]</f>
        <v>34500</v>
      </c>
    </row>
    <row r="106" spans="1:6" x14ac:dyDescent="0.2">
      <c r="A106" s="7">
        <v>71</v>
      </c>
      <c r="B106" s="7">
        <f t="shared" ca="1" si="3"/>
        <v>6</v>
      </c>
      <c r="C106" s="7">
        <f t="shared" ca="1" si="4"/>
        <v>4</v>
      </c>
      <c r="D106" s="7">
        <f t="shared" ca="1" si="5"/>
        <v>13</v>
      </c>
      <c r="E106" s="17" cm="1">
        <f t="array" aca="1" ref="E106" ca="1">ABS(IF(Tabla1[[#This Row],[Bodega]]&gt;0,Tabla1[[#This Row],[Bodega]]*Tabla2[Costo unitario Inventario],Tabla1[[#This Row],[Bodega]]*Tabla2[Costo unitario Deficit]))</f>
        <v>6500</v>
      </c>
      <c r="F106" s="17" cm="1">
        <f t="array" aca="1" ref="F106" ca="1">(Tabla1[[#This Row],[Venta Dia]]*Tabla2[Precio de venta])-(Tabla1[[#This Row],[Venta Dia]]*Tabla2[Costo Produccion])-Tabla1[[#This Row],[Déficit bodega]]</f>
        <v>33500</v>
      </c>
    </row>
    <row r="107" spans="1:6" x14ac:dyDescent="0.2">
      <c r="A107" s="7">
        <v>72</v>
      </c>
      <c r="B107" s="7">
        <f t="shared" ca="1" si="3"/>
        <v>3</v>
      </c>
      <c r="C107" s="7">
        <f t="shared" ca="1" si="4"/>
        <v>4</v>
      </c>
      <c r="D107" s="7">
        <f t="shared" ca="1" si="5"/>
        <v>12</v>
      </c>
      <c r="E107" s="17" cm="1">
        <f t="array" aca="1" ref="E107" ca="1">ABS(IF(Tabla1[[#This Row],[Bodega]]&gt;0,Tabla1[[#This Row],[Bodega]]*Tabla2[Costo unitario Inventario],Tabla1[[#This Row],[Bodega]]*Tabla2[Costo unitario Deficit]))</f>
        <v>6000</v>
      </c>
      <c r="F107" s="17" cm="1">
        <f t="array" aca="1" ref="F107" ca="1">(Tabla1[[#This Row],[Venta Dia]]*Tabla2[Precio de venta])-(Tabla1[[#This Row],[Venta Dia]]*Tabla2[Costo Produccion])-Tabla1[[#This Row],[Déficit bodega]]</f>
        <v>34000</v>
      </c>
    </row>
    <row r="108" spans="1:6" x14ac:dyDescent="0.2">
      <c r="A108" s="7">
        <v>73</v>
      </c>
      <c r="B108" s="7">
        <f t="shared" ca="1" si="3"/>
        <v>3</v>
      </c>
      <c r="C108" s="7">
        <f t="shared" ca="1" si="4"/>
        <v>5</v>
      </c>
      <c r="D108" s="7">
        <f t="shared" ca="1" si="5"/>
        <v>10</v>
      </c>
      <c r="E108" s="17" cm="1">
        <f t="array" aca="1" ref="E108" ca="1">ABS(IF(Tabla1[[#This Row],[Bodega]]&gt;0,Tabla1[[#This Row],[Bodega]]*Tabla2[Costo unitario Inventario],Tabla1[[#This Row],[Bodega]]*Tabla2[Costo unitario Deficit]))</f>
        <v>5000</v>
      </c>
      <c r="F108" s="17" cm="1">
        <f t="array" aca="1" ref="F108" ca="1">(Tabla1[[#This Row],[Venta Dia]]*Tabla2[Precio de venta])-(Tabla1[[#This Row],[Venta Dia]]*Tabla2[Costo Produccion])-Tabla1[[#This Row],[Déficit bodega]]</f>
        <v>45000</v>
      </c>
    </row>
    <row r="109" spans="1:6" x14ac:dyDescent="0.2">
      <c r="A109" s="7">
        <v>74</v>
      </c>
      <c r="B109" s="7">
        <f t="shared" ca="1" si="3"/>
        <v>7</v>
      </c>
      <c r="C109" s="7">
        <f t="shared" ca="1" si="4"/>
        <v>4</v>
      </c>
      <c r="D109" s="7">
        <f t="shared" ca="1" si="5"/>
        <v>13</v>
      </c>
      <c r="E109" s="17" cm="1">
        <f t="array" aca="1" ref="E109" ca="1">ABS(IF(Tabla1[[#This Row],[Bodega]]&gt;0,Tabla1[[#This Row],[Bodega]]*Tabla2[Costo unitario Inventario],Tabla1[[#This Row],[Bodega]]*Tabla2[Costo unitario Deficit]))</f>
        <v>6500</v>
      </c>
      <c r="F109" s="17" cm="1">
        <f t="array" aca="1" ref="F109" ca="1">(Tabla1[[#This Row],[Venta Dia]]*Tabla2[Precio de venta])-(Tabla1[[#This Row],[Venta Dia]]*Tabla2[Costo Produccion])-Tabla1[[#This Row],[Déficit bodega]]</f>
        <v>33500</v>
      </c>
    </row>
    <row r="110" spans="1:6" x14ac:dyDescent="0.2">
      <c r="A110" s="7">
        <v>75</v>
      </c>
      <c r="B110" s="7">
        <f t="shared" ca="1" si="3"/>
        <v>6</v>
      </c>
      <c r="C110" s="7">
        <f t="shared" ca="1" si="4"/>
        <v>4</v>
      </c>
      <c r="D110" s="7">
        <f t="shared" ca="1" si="5"/>
        <v>15</v>
      </c>
      <c r="E110" s="17" cm="1">
        <f t="array" aca="1" ref="E110" ca="1">ABS(IF(Tabla1[[#This Row],[Bodega]]&gt;0,Tabla1[[#This Row],[Bodega]]*Tabla2[Costo unitario Inventario],Tabla1[[#This Row],[Bodega]]*Tabla2[Costo unitario Deficit]))</f>
        <v>7500</v>
      </c>
      <c r="F110" s="17" cm="1">
        <f t="array" aca="1" ref="F110" ca="1">(Tabla1[[#This Row],[Venta Dia]]*Tabla2[Precio de venta])-(Tabla1[[#This Row],[Venta Dia]]*Tabla2[Costo Produccion])-Tabla1[[#This Row],[Déficit bodega]]</f>
        <v>32500</v>
      </c>
    </row>
    <row r="111" spans="1:6" x14ac:dyDescent="0.2">
      <c r="A111" s="7">
        <v>76</v>
      </c>
      <c r="B111" s="7">
        <f t="shared" ca="1" si="3"/>
        <v>5</v>
      </c>
      <c r="C111" s="7">
        <f t="shared" ca="1" si="4"/>
        <v>5</v>
      </c>
      <c r="D111" s="7">
        <f t="shared" ca="1" si="5"/>
        <v>15</v>
      </c>
      <c r="E111" s="17" cm="1">
        <f t="array" aca="1" ref="E111" ca="1">ABS(IF(Tabla1[[#This Row],[Bodega]]&gt;0,Tabla1[[#This Row],[Bodega]]*Tabla2[Costo unitario Inventario],Tabla1[[#This Row],[Bodega]]*Tabla2[Costo unitario Deficit]))</f>
        <v>7500</v>
      </c>
      <c r="F111" s="17" cm="1">
        <f t="array" aca="1" ref="F111" ca="1">(Tabla1[[#This Row],[Venta Dia]]*Tabla2[Precio de venta])-(Tabla1[[#This Row],[Venta Dia]]*Tabla2[Costo Produccion])-Tabla1[[#This Row],[Déficit bodega]]</f>
        <v>42500</v>
      </c>
    </row>
    <row r="112" spans="1:6" x14ac:dyDescent="0.2">
      <c r="A112" s="7">
        <v>77</v>
      </c>
      <c r="B112" s="7">
        <f t="shared" ca="1" si="3"/>
        <v>5</v>
      </c>
      <c r="C112" s="7">
        <f t="shared" ca="1" si="4"/>
        <v>5</v>
      </c>
      <c r="D112" s="7">
        <f t="shared" ca="1" si="5"/>
        <v>15</v>
      </c>
      <c r="E112" s="17" cm="1">
        <f t="array" aca="1" ref="E112" ca="1">ABS(IF(Tabla1[[#This Row],[Bodega]]&gt;0,Tabla1[[#This Row],[Bodega]]*Tabla2[Costo unitario Inventario],Tabla1[[#This Row],[Bodega]]*Tabla2[Costo unitario Deficit]))</f>
        <v>7500</v>
      </c>
      <c r="F112" s="17" cm="1">
        <f t="array" aca="1" ref="F112" ca="1">(Tabla1[[#This Row],[Venta Dia]]*Tabla2[Precio de venta])-(Tabla1[[#This Row],[Venta Dia]]*Tabla2[Costo Produccion])-Tabla1[[#This Row],[Déficit bodega]]</f>
        <v>42500</v>
      </c>
    </row>
    <row r="113" spans="1:6" x14ac:dyDescent="0.2">
      <c r="A113" s="7">
        <v>78</v>
      </c>
      <c r="B113" s="7">
        <f t="shared" ca="1" si="3"/>
        <v>3</v>
      </c>
      <c r="C113" s="7">
        <f t="shared" ca="1" si="4"/>
        <v>5</v>
      </c>
      <c r="D113" s="7">
        <f t="shared" ca="1" si="5"/>
        <v>13</v>
      </c>
      <c r="E113" s="17" cm="1">
        <f t="array" aca="1" ref="E113" ca="1">ABS(IF(Tabla1[[#This Row],[Bodega]]&gt;0,Tabla1[[#This Row],[Bodega]]*Tabla2[Costo unitario Inventario],Tabla1[[#This Row],[Bodega]]*Tabla2[Costo unitario Deficit]))</f>
        <v>6500</v>
      </c>
      <c r="F113" s="17" cm="1">
        <f t="array" aca="1" ref="F113" ca="1">(Tabla1[[#This Row],[Venta Dia]]*Tabla2[Precio de venta])-(Tabla1[[#This Row],[Venta Dia]]*Tabla2[Costo Produccion])-Tabla1[[#This Row],[Déficit bodega]]</f>
        <v>43500</v>
      </c>
    </row>
    <row r="114" spans="1:6" x14ac:dyDescent="0.2">
      <c r="A114" s="7">
        <v>79</v>
      </c>
      <c r="B114" s="7">
        <f t="shared" ca="1" si="3"/>
        <v>4</v>
      </c>
      <c r="C114" s="7">
        <f t="shared" ca="1" si="4"/>
        <v>4</v>
      </c>
      <c r="D114" s="7">
        <f t="shared" ca="1" si="5"/>
        <v>13</v>
      </c>
      <c r="E114" s="17" cm="1">
        <f t="array" aca="1" ref="E114" ca="1">ABS(IF(Tabla1[[#This Row],[Bodega]]&gt;0,Tabla1[[#This Row],[Bodega]]*Tabla2[Costo unitario Inventario],Tabla1[[#This Row],[Bodega]]*Tabla2[Costo unitario Deficit]))</f>
        <v>6500</v>
      </c>
      <c r="F114" s="17" cm="1">
        <f t="array" aca="1" ref="F114" ca="1">(Tabla1[[#This Row],[Venta Dia]]*Tabla2[Precio de venta])-(Tabla1[[#This Row],[Venta Dia]]*Tabla2[Costo Produccion])-Tabla1[[#This Row],[Déficit bodega]]</f>
        <v>33500</v>
      </c>
    </row>
    <row r="115" spans="1:6" x14ac:dyDescent="0.2">
      <c r="A115" s="7">
        <v>80</v>
      </c>
      <c r="B115" s="7">
        <f t="shared" ca="1" si="3"/>
        <v>3</v>
      </c>
      <c r="C115" s="7">
        <f t="shared" ca="1" si="4"/>
        <v>4</v>
      </c>
      <c r="D115" s="7">
        <f t="shared" ca="1" si="5"/>
        <v>12</v>
      </c>
      <c r="E115" s="17" cm="1">
        <f t="array" aca="1" ref="E115" ca="1">ABS(IF(Tabla1[[#This Row],[Bodega]]&gt;0,Tabla1[[#This Row],[Bodega]]*Tabla2[Costo unitario Inventario],Tabla1[[#This Row],[Bodega]]*Tabla2[Costo unitario Deficit]))</f>
        <v>6000</v>
      </c>
      <c r="F115" s="17" cm="1">
        <f t="array" aca="1" ref="F115" ca="1">(Tabla1[[#This Row],[Venta Dia]]*Tabla2[Precio de venta])-(Tabla1[[#This Row],[Venta Dia]]*Tabla2[Costo Produccion])-Tabla1[[#This Row],[Déficit bodega]]</f>
        <v>34000</v>
      </c>
    </row>
    <row r="116" spans="1:6" x14ac:dyDescent="0.2">
      <c r="A116" s="7">
        <v>81</v>
      </c>
      <c r="B116" s="7">
        <f t="shared" ca="1" si="3"/>
        <v>6</v>
      </c>
      <c r="C116" s="7">
        <f t="shared" ca="1" si="4"/>
        <v>5</v>
      </c>
      <c r="D116" s="7">
        <f t="shared" ca="1" si="5"/>
        <v>13</v>
      </c>
      <c r="E116" s="17" cm="1">
        <f t="array" aca="1" ref="E116" ca="1">ABS(IF(Tabla1[[#This Row],[Bodega]]&gt;0,Tabla1[[#This Row],[Bodega]]*Tabla2[Costo unitario Inventario],Tabla1[[#This Row],[Bodega]]*Tabla2[Costo unitario Deficit]))</f>
        <v>6500</v>
      </c>
      <c r="F116" s="17" cm="1">
        <f t="array" aca="1" ref="F116" ca="1">(Tabla1[[#This Row],[Venta Dia]]*Tabla2[Precio de venta])-(Tabla1[[#This Row],[Venta Dia]]*Tabla2[Costo Produccion])-Tabla1[[#This Row],[Déficit bodega]]</f>
        <v>43500</v>
      </c>
    </row>
    <row r="117" spans="1:6" x14ac:dyDescent="0.2">
      <c r="A117" s="7">
        <v>82</v>
      </c>
      <c r="B117" s="7">
        <f t="shared" ca="1" si="3"/>
        <v>7</v>
      </c>
      <c r="C117" s="7">
        <f t="shared" ca="1" si="4"/>
        <v>4</v>
      </c>
      <c r="D117" s="7">
        <f t="shared" ca="1" si="5"/>
        <v>16</v>
      </c>
      <c r="E117" s="17" cm="1">
        <f t="array" aca="1" ref="E117" ca="1">ABS(IF(Tabla1[[#This Row],[Bodega]]&gt;0,Tabla1[[#This Row],[Bodega]]*Tabla2[Costo unitario Inventario],Tabla1[[#This Row],[Bodega]]*Tabla2[Costo unitario Deficit]))</f>
        <v>8000</v>
      </c>
      <c r="F117" s="17" cm="1">
        <f t="array" aca="1" ref="F117" ca="1">(Tabla1[[#This Row],[Venta Dia]]*Tabla2[Precio de venta])-(Tabla1[[#This Row],[Venta Dia]]*Tabla2[Costo Produccion])-Tabla1[[#This Row],[Déficit bodega]]</f>
        <v>32000</v>
      </c>
    </row>
    <row r="118" spans="1:6" x14ac:dyDescent="0.2">
      <c r="A118" s="7">
        <v>83</v>
      </c>
      <c r="B118" s="7">
        <f t="shared" ca="1" si="3"/>
        <v>5</v>
      </c>
      <c r="C118" s="7">
        <f t="shared" ca="1" si="4"/>
        <v>6</v>
      </c>
      <c r="D118" s="7">
        <f t="shared" ca="1" si="5"/>
        <v>15</v>
      </c>
      <c r="E118" s="17" cm="1">
        <f t="array" aca="1" ref="E118" ca="1">ABS(IF(Tabla1[[#This Row],[Bodega]]&gt;0,Tabla1[[#This Row],[Bodega]]*Tabla2[Costo unitario Inventario],Tabla1[[#This Row],[Bodega]]*Tabla2[Costo unitario Deficit]))</f>
        <v>7500</v>
      </c>
      <c r="F118" s="17" cm="1">
        <f t="array" aca="1" ref="F118" ca="1">(Tabla1[[#This Row],[Venta Dia]]*Tabla2[Precio de venta])-(Tabla1[[#This Row],[Venta Dia]]*Tabla2[Costo Produccion])-Tabla1[[#This Row],[Déficit bodega]]</f>
        <v>52500</v>
      </c>
    </row>
    <row r="119" spans="1:6" x14ac:dyDescent="0.2">
      <c r="A119" s="7">
        <v>84</v>
      </c>
      <c r="B119" s="7">
        <f t="shared" ca="1" si="3"/>
        <v>3</v>
      </c>
      <c r="C119" s="7">
        <f t="shared" ca="1" si="4"/>
        <v>5</v>
      </c>
      <c r="D119" s="7">
        <f t="shared" ca="1" si="5"/>
        <v>13</v>
      </c>
      <c r="E119" s="17" cm="1">
        <f t="array" aca="1" ref="E119" ca="1">ABS(IF(Tabla1[[#This Row],[Bodega]]&gt;0,Tabla1[[#This Row],[Bodega]]*Tabla2[Costo unitario Inventario],Tabla1[[#This Row],[Bodega]]*Tabla2[Costo unitario Deficit]))</f>
        <v>6500</v>
      </c>
      <c r="F119" s="17" cm="1">
        <f t="array" aca="1" ref="F119" ca="1">(Tabla1[[#This Row],[Venta Dia]]*Tabla2[Precio de venta])-(Tabla1[[#This Row],[Venta Dia]]*Tabla2[Costo Produccion])-Tabla1[[#This Row],[Déficit bodega]]</f>
        <v>43500</v>
      </c>
    </row>
    <row r="120" spans="1:6" x14ac:dyDescent="0.2">
      <c r="A120" s="7">
        <v>85</v>
      </c>
      <c r="B120" s="7">
        <f t="shared" ca="1" si="3"/>
        <v>4</v>
      </c>
      <c r="C120" s="7">
        <f t="shared" ca="1" si="4"/>
        <v>4</v>
      </c>
      <c r="D120" s="7">
        <f t="shared" ca="1" si="5"/>
        <v>13</v>
      </c>
      <c r="E120" s="17" cm="1">
        <f t="array" aca="1" ref="E120" ca="1">ABS(IF(Tabla1[[#This Row],[Bodega]]&gt;0,Tabla1[[#This Row],[Bodega]]*Tabla2[Costo unitario Inventario],Tabla1[[#This Row],[Bodega]]*Tabla2[Costo unitario Deficit]))</f>
        <v>6500</v>
      </c>
      <c r="F120" s="17" cm="1">
        <f t="array" aca="1" ref="F120" ca="1">(Tabla1[[#This Row],[Venta Dia]]*Tabla2[Precio de venta])-(Tabla1[[#This Row],[Venta Dia]]*Tabla2[Costo Produccion])-Tabla1[[#This Row],[Déficit bodega]]</f>
        <v>33500</v>
      </c>
    </row>
    <row r="121" spans="1:6" x14ac:dyDescent="0.2">
      <c r="A121" s="7">
        <v>86</v>
      </c>
      <c r="B121" s="7">
        <f t="shared" ca="1" si="3"/>
        <v>3</v>
      </c>
      <c r="C121" s="7">
        <f t="shared" ca="1" si="4"/>
        <v>5</v>
      </c>
      <c r="D121" s="7">
        <f t="shared" ca="1" si="5"/>
        <v>11</v>
      </c>
      <c r="E121" s="17" cm="1">
        <f t="array" aca="1" ref="E121" ca="1">ABS(IF(Tabla1[[#This Row],[Bodega]]&gt;0,Tabla1[[#This Row],[Bodega]]*Tabla2[Costo unitario Inventario],Tabla1[[#This Row],[Bodega]]*Tabla2[Costo unitario Deficit]))</f>
        <v>5500</v>
      </c>
      <c r="F121" s="17" cm="1">
        <f t="array" aca="1" ref="F121" ca="1">(Tabla1[[#This Row],[Venta Dia]]*Tabla2[Precio de venta])-(Tabla1[[#This Row],[Venta Dia]]*Tabla2[Costo Produccion])-Tabla1[[#This Row],[Déficit bodega]]</f>
        <v>44500</v>
      </c>
    </row>
    <row r="122" spans="1:6" x14ac:dyDescent="0.2">
      <c r="A122" s="7">
        <v>87</v>
      </c>
      <c r="B122" s="7">
        <f t="shared" ca="1" si="3"/>
        <v>6</v>
      </c>
      <c r="C122" s="7">
        <f t="shared" ca="1" si="4"/>
        <v>4</v>
      </c>
      <c r="D122" s="7">
        <f t="shared" ca="1" si="5"/>
        <v>13</v>
      </c>
      <c r="E122" s="17" cm="1">
        <f t="array" aca="1" ref="E122" ca="1">ABS(IF(Tabla1[[#This Row],[Bodega]]&gt;0,Tabla1[[#This Row],[Bodega]]*Tabla2[Costo unitario Inventario],Tabla1[[#This Row],[Bodega]]*Tabla2[Costo unitario Deficit]))</f>
        <v>6500</v>
      </c>
      <c r="F122" s="17" cm="1">
        <f t="array" aca="1" ref="F122" ca="1">(Tabla1[[#This Row],[Venta Dia]]*Tabla2[Precio de venta])-(Tabla1[[#This Row],[Venta Dia]]*Tabla2[Costo Produccion])-Tabla1[[#This Row],[Déficit bodega]]</f>
        <v>33500</v>
      </c>
    </row>
    <row r="123" spans="1:6" x14ac:dyDescent="0.2">
      <c r="A123" s="7">
        <v>88</v>
      </c>
      <c r="B123" s="7">
        <f t="shared" ca="1" si="3"/>
        <v>6</v>
      </c>
      <c r="C123" s="7">
        <f t="shared" ca="1" si="4"/>
        <v>4</v>
      </c>
      <c r="D123" s="7">
        <f t="shared" ca="1" si="5"/>
        <v>15</v>
      </c>
      <c r="E123" s="17" cm="1">
        <f t="array" aca="1" ref="E123" ca="1">ABS(IF(Tabla1[[#This Row],[Bodega]]&gt;0,Tabla1[[#This Row],[Bodega]]*Tabla2[Costo unitario Inventario],Tabla1[[#This Row],[Bodega]]*Tabla2[Costo unitario Deficit]))</f>
        <v>7500</v>
      </c>
      <c r="F123" s="17" cm="1">
        <f t="array" aca="1" ref="F123" ca="1">(Tabla1[[#This Row],[Venta Dia]]*Tabla2[Precio de venta])-(Tabla1[[#This Row],[Venta Dia]]*Tabla2[Costo Produccion])-Tabla1[[#This Row],[Déficit bodega]]</f>
        <v>32500</v>
      </c>
    </row>
    <row r="124" spans="1:6" x14ac:dyDescent="0.2">
      <c r="A124" s="7">
        <v>89</v>
      </c>
      <c r="B124" s="7">
        <f t="shared" ca="1" si="3"/>
        <v>7</v>
      </c>
      <c r="C124" s="7">
        <f t="shared" ca="1" si="4"/>
        <v>4</v>
      </c>
      <c r="D124" s="7">
        <f t="shared" ca="1" si="5"/>
        <v>18</v>
      </c>
      <c r="E124" s="17" cm="1">
        <f t="array" aca="1" ref="E124" ca="1">ABS(IF(Tabla1[[#This Row],[Bodega]]&gt;0,Tabla1[[#This Row],[Bodega]]*Tabla2[Costo unitario Inventario],Tabla1[[#This Row],[Bodega]]*Tabla2[Costo unitario Deficit]))</f>
        <v>9000</v>
      </c>
      <c r="F124" s="17" cm="1">
        <f t="array" aca="1" ref="F124" ca="1">(Tabla1[[#This Row],[Venta Dia]]*Tabla2[Precio de venta])-(Tabla1[[#This Row],[Venta Dia]]*Tabla2[Costo Produccion])-Tabla1[[#This Row],[Déficit bodega]]</f>
        <v>31000</v>
      </c>
    </row>
    <row r="125" spans="1:6" x14ac:dyDescent="0.2">
      <c r="A125" s="7">
        <v>90</v>
      </c>
      <c r="B125" s="7">
        <f t="shared" ca="1" si="3"/>
        <v>6</v>
      </c>
      <c r="C125" s="7">
        <f t="shared" ca="1" si="4"/>
        <v>5</v>
      </c>
      <c r="D125" s="7">
        <f t="shared" ca="1" si="5"/>
        <v>19</v>
      </c>
      <c r="E125" s="17" cm="1">
        <f t="array" aca="1" ref="E125" ca="1">ABS(IF(Tabla1[[#This Row],[Bodega]]&gt;0,Tabla1[[#This Row],[Bodega]]*Tabla2[Costo unitario Inventario],Tabla1[[#This Row],[Bodega]]*Tabla2[Costo unitario Deficit]))</f>
        <v>9500</v>
      </c>
      <c r="F125" s="17" cm="1">
        <f t="array" aca="1" ref="F125" ca="1">(Tabla1[[#This Row],[Venta Dia]]*Tabla2[Precio de venta])-(Tabla1[[#This Row],[Venta Dia]]*Tabla2[Costo Produccion])-Tabla1[[#This Row],[Déficit bodega]]</f>
        <v>40500</v>
      </c>
    </row>
    <row r="126" spans="1:6" x14ac:dyDescent="0.2">
      <c r="A126" s="7">
        <v>91</v>
      </c>
      <c r="B126" s="7">
        <f t="shared" ca="1" si="3"/>
        <v>4</v>
      </c>
      <c r="C126" s="7">
        <f t="shared" ca="1" si="4"/>
        <v>5</v>
      </c>
      <c r="D126" s="7">
        <f t="shared" ca="1" si="5"/>
        <v>18</v>
      </c>
      <c r="E126" s="17" cm="1">
        <f t="array" aca="1" ref="E126" ca="1">ABS(IF(Tabla1[[#This Row],[Bodega]]&gt;0,Tabla1[[#This Row],[Bodega]]*Tabla2[Costo unitario Inventario],Tabla1[[#This Row],[Bodega]]*Tabla2[Costo unitario Deficit]))</f>
        <v>9000</v>
      </c>
      <c r="F126" s="17" cm="1">
        <f t="array" aca="1" ref="F126" ca="1">(Tabla1[[#This Row],[Venta Dia]]*Tabla2[Precio de venta])-(Tabla1[[#This Row],[Venta Dia]]*Tabla2[Costo Produccion])-Tabla1[[#This Row],[Déficit bodega]]</f>
        <v>41000</v>
      </c>
    </row>
    <row r="127" spans="1:6" x14ac:dyDescent="0.2">
      <c r="A127" s="7">
        <v>92</v>
      </c>
      <c r="B127" s="7">
        <f t="shared" ca="1" si="3"/>
        <v>4</v>
      </c>
      <c r="C127" s="7">
        <f t="shared" ca="1" si="4"/>
        <v>5</v>
      </c>
      <c r="D127" s="7">
        <f t="shared" ca="1" si="5"/>
        <v>17</v>
      </c>
      <c r="E127" s="17" cm="1">
        <f t="array" aca="1" ref="E127" ca="1">ABS(IF(Tabla1[[#This Row],[Bodega]]&gt;0,Tabla1[[#This Row],[Bodega]]*Tabla2[Costo unitario Inventario],Tabla1[[#This Row],[Bodega]]*Tabla2[Costo unitario Deficit]))</f>
        <v>8500</v>
      </c>
      <c r="F127" s="17" cm="1">
        <f t="array" aca="1" ref="F127" ca="1">(Tabla1[[#This Row],[Venta Dia]]*Tabla2[Precio de venta])-(Tabla1[[#This Row],[Venta Dia]]*Tabla2[Costo Produccion])-Tabla1[[#This Row],[Déficit bodega]]</f>
        <v>41500</v>
      </c>
    </row>
    <row r="128" spans="1:6" x14ac:dyDescent="0.2">
      <c r="A128" s="7">
        <v>93</v>
      </c>
      <c r="B128" s="7">
        <f t="shared" ca="1" si="3"/>
        <v>5</v>
      </c>
      <c r="C128" s="7">
        <f t="shared" ca="1" si="4"/>
        <v>5</v>
      </c>
      <c r="D128" s="7">
        <f t="shared" ca="1" si="5"/>
        <v>17</v>
      </c>
      <c r="E128" s="17" cm="1">
        <f t="array" aca="1" ref="E128" ca="1">ABS(IF(Tabla1[[#This Row],[Bodega]]&gt;0,Tabla1[[#This Row],[Bodega]]*Tabla2[Costo unitario Inventario],Tabla1[[#This Row],[Bodega]]*Tabla2[Costo unitario Deficit]))</f>
        <v>8500</v>
      </c>
      <c r="F128" s="17" cm="1">
        <f t="array" aca="1" ref="F128" ca="1">(Tabla1[[#This Row],[Venta Dia]]*Tabla2[Precio de venta])-(Tabla1[[#This Row],[Venta Dia]]*Tabla2[Costo Produccion])-Tabla1[[#This Row],[Déficit bodega]]</f>
        <v>41500</v>
      </c>
    </row>
    <row r="129" spans="1:6" x14ac:dyDescent="0.2">
      <c r="A129" s="7">
        <v>94</v>
      </c>
      <c r="B129" s="7">
        <f t="shared" ca="1" si="3"/>
        <v>3</v>
      </c>
      <c r="C129" s="7">
        <f t="shared" ca="1" si="4"/>
        <v>4</v>
      </c>
      <c r="D129" s="7">
        <f t="shared" ca="1" si="5"/>
        <v>16</v>
      </c>
      <c r="E129" s="17" cm="1">
        <f t="array" aca="1" ref="E129" ca="1">ABS(IF(Tabla1[[#This Row],[Bodega]]&gt;0,Tabla1[[#This Row],[Bodega]]*Tabla2[Costo unitario Inventario],Tabla1[[#This Row],[Bodega]]*Tabla2[Costo unitario Deficit]))</f>
        <v>8000</v>
      </c>
      <c r="F129" s="17" cm="1">
        <f t="array" aca="1" ref="F129" ca="1">(Tabla1[[#This Row],[Venta Dia]]*Tabla2[Precio de venta])-(Tabla1[[#This Row],[Venta Dia]]*Tabla2[Costo Produccion])-Tabla1[[#This Row],[Déficit bodega]]</f>
        <v>32000</v>
      </c>
    </row>
    <row r="130" spans="1:6" x14ac:dyDescent="0.2">
      <c r="A130" s="7">
        <v>95</v>
      </c>
      <c r="B130" s="7">
        <f t="shared" ca="1" si="3"/>
        <v>5</v>
      </c>
      <c r="C130" s="7">
        <f t="shared" ca="1" si="4"/>
        <v>5</v>
      </c>
      <c r="D130" s="7">
        <f t="shared" ca="1" si="5"/>
        <v>16</v>
      </c>
      <c r="E130" s="17" cm="1">
        <f t="array" aca="1" ref="E130" ca="1">ABS(IF(Tabla1[[#This Row],[Bodega]]&gt;0,Tabla1[[#This Row],[Bodega]]*Tabla2[Costo unitario Inventario],Tabla1[[#This Row],[Bodega]]*Tabla2[Costo unitario Deficit]))</f>
        <v>8000</v>
      </c>
      <c r="F130" s="17" cm="1">
        <f t="array" aca="1" ref="F130" ca="1">(Tabla1[[#This Row],[Venta Dia]]*Tabla2[Precio de venta])-(Tabla1[[#This Row],[Venta Dia]]*Tabla2[Costo Produccion])-Tabla1[[#This Row],[Déficit bodega]]</f>
        <v>42000</v>
      </c>
    </row>
    <row r="131" spans="1:6" x14ac:dyDescent="0.2">
      <c r="A131" s="7">
        <v>96</v>
      </c>
      <c r="B131" s="7">
        <f t="shared" ca="1" si="3"/>
        <v>6</v>
      </c>
      <c r="C131" s="7">
        <f t="shared" ca="1" si="4"/>
        <v>4</v>
      </c>
      <c r="D131" s="7">
        <f t="shared" ca="1" si="5"/>
        <v>18</v>
      </c>
      <c r="E131" s="17" cm="1">
        <f t="array" aca="1" ref="E131" ca="1">ABS(IF(Tabla1[[#This Row],[Bodega]]&gt;0,Tabla1[[#This Row],[Bodega]]*Tabla2[Costo unitario Inventario],Tabla1[[#This Row],[Bodega]]*Tabla2[Costo unitario Deficit]))</f>
        <v>9000</v>
      </c>
      <c r="F131" s="17" cm="1">
        <f t="array" aca="1" ref="F131" ca="1">(Tabla1[[#This Row],[Venta Dia]]*Tabla2[Precio de venta])-(Tabla1[[#This Row],[Venta Dia]]*Tabla2[Costo Produccion])-Tabla1[[#This Row],[Déficit bodega]]</f>
        <v>31000</v>
      </c>
    </row>
    <row r="132" spans="1:6" x14ac:dyDescent="0.2">
      <c r="A132" s="7">
        <v>97</v>
      </c>
      <c r="B132" s="7">
        <f t="shared" ca="1" si="3"/>
        <v>3</v>
      </c>
      <c r="C132" s="7">
        <f t="shared" ca="1" si="4"/>
        <v>4</v>
      </c>
      <c r="D132" s="7">
        <f t="shared" ca="1" si="5"/>
        <v>17</v>
      </c>
      <c r="E132" s="17" cm="1">
        <f t="array" aca="1" ref="E132" ca="1">ABS(IF(Tabla1[[#This Row],[Bodega]]&gt;0,Tabla1[[#This Row],[Bodega]]*Tabla2[Costo unitario Inventario],Tabla1[[#This Row],[Bodega]]*Tabla2[Costo unitario Deficit]))</f>
        <v>8500</v>
      </c>
      <c r="F132" s="17" cm="1">
        <f t="array" aca="1" ref="F132" ca="1">(Tabla1[[#This Row],[Venta Dia]]*Tabla2[Precio de venta])-(Tabla1[[#This Row],[Venta Dia]]*Tabla2[Costo Produccion])-Tabla1[[#This Row],[Déficit bodega]]</f>
        <v>31500</v>
      </c>
    </row>
    <row r="133" spans="1:6" x14ac:dyDescent="0.2">
      <c r="A133" s="7">
        <v>98</v>
      </c>
      <c r="B133" s="7">
        <f t="shared" ca="1" si="3"/>
        <v>5</v>
      </c>
      <c r="C133" s="7">
        <f t="shared" ca="1" si="4"/>
        <v>4</v>
      </c>
      <c r="D133" s="7">
        <f t="shared" ca="1" si="5"/>
        <v>18</v>
      </c>
      <c r="E133" s="17" cm="1">
        <f t="array" aca="1" ref="E133" ca="1">ABS(IF(Tabla1[[#This Row],[Bodega]]&gt;0,Tabla1[[#This Row],[Bodega]]*Tabla2[Costo unitario Inventario],Tabla1[[#This Row],[Bodega]]*Tabla2[Costo unitario Deficit]))</f>
        <v>9000</v>
      </c>
      <c r="F133" s="17" cm="1">
        <f t="array" aca="1" ref="F133" ca="1">(Tabla1[[#This Row],[Venta Dia]]*Tabla2[Precio de venta])-(Tabla1[[#This Row],[Venta Dia]]*Tabla2[Costo Produccion])-Tabla1[[#This Row],[Déficit bodega]]</f>
        <v>31000</v>
      </c>
    </row>
    <row r="134" spans="1:6" x14ac:dyDescent="0.2">
      <c r="A134" s="7">
        <v>99</v>
      </c>
      <c r="B134" s="7">
        <f t="shared" ca="1" si="3"/>
        <v>7</v>
      </c>
      <c r="C134" s="7">
        <f t="shared" ca="1" si="4"/>
        <v>6</v>
      </c>
      <c r="D134" s="7">
        <f t="shared" ca="1" si="5"/>
        <v>19</v>
      </c>
      <c r="E134" s="17" cm="1">
        <f t="array" aca="1" ref="E134" ca="1">ABS(IF(Tabla1[[#This Row],[Bodega]]&gt;0,Tabla1[[#This Row],[Bodega]]*Tabla2[Costo unitario Inventario],Tabla1[[#This Row],[Bodega]]*Tabla2[Costo unitario Deficit]))</f>
        <v>9500</v>
      </c>
      <c r="F134" s="17" cm="1">
        <f t="array" aca="1" ref="F134" ca="1">(Tabla1[[#This Row],[Venta Dia]]*Tabla2[Precio de venta])-(Tabla1[[#This Row],[Venta Dia]]*Tabla2[Costo Produccion])-Tabla1[[#This Row],[Déficit bodega]]</f>
        <v>50500</v>
      </c>
    </row>
    <row r="135" spans="1:6" x14ac:dyDescent="0.2">
      <c r="A135" s="7">
        <v>100</v>
      </c>
      <c r="B135" s="7">
        <f t="shared" ca="1" si="3"/>
        <v>4</v>
      </c>
      <c r="C135" s="7">
        <f t="shared" ca="1" si="4"/>
        <v>4</v>
      </c>
      <c r="D135" s="7">
        <f t="shared" ca="1" si="5"/>
        <v>19</v>
      </c>
      <c r="E135" s="17" cm="1">
        <f t="array" aca="1" ref="E135" ca="1">ABS(IF(Tabla1[[#This Row],[Bodega]]&gt;0,Tabla1[[#This Row],[Bodega]]*Tabla2[Costo unitario Inventario],Tabla1[[#This Row],[Bodega]]*Tabla2[Costo unitario Deficit]))</f>
        <v>9500</v>
      </c>
      <c r="F135" s="17" cm="1">
        <f t="array" aca="1" ref="F135" ca="1">(Tabla1[[#This Row],[Venta Dia]]*Tabla2[Precio de venta])-(Tabla1[[#This Row],[Venta Dia]]*Tabla2[Costo Produccion])-Tabla1[[#This Row],[Déficit bodega]]</f>
        <v>30500</v>
      </c>
    </row>
    <row r="136" spans="1:6" x14ac:dyDescent="0.2">
      <c r="A136" s="7">
        <v>101</v>
      </c>
      <c r="B136" s="7">
        <f t="shared" ca="1" si="3"/>
        <v>3</v>
      </c>
      <c r="C136" s="7">
        <f t="shared" ca="1" si="4"/>
        <v>4</v>
      </c>
      <c r="D136" s="7">
        <f t="shared" ca="1" si="5"/>
        <v>18</v>
      </c>
      <c r="E136" s="17" cm="1">
        <f t="array" aca="1" ref="E136" ca="1">ABS(IF(Tabla1[[#This Row],[Bodega]]&gt;0,Tabla1[[#This Row],[Bodega]]*Tabla2[Costo unitario Inventario],Tabla1[[#This Row],[Bodega]]*Tabla2[Costo unitario Deficit]))</f>
        <v>9000</v>
      </c>
      <c r="F136" s="17" cm="1">
        <f t="array" aca="1" ref="F136" ca="1">(Tabla1[[#This Row],[Venta Dia]]*Tabla2[Precio de venta])-(Tabla1[[#This Row],[Venta Dia]]*Tabla2[Costo Produccion])-Tabla1[[#This Row],[Déficit bodega]]</f>
        <v>31000</v>
      </c>
    </row>
    <row r="137" spans="1:6" x14ac:dyDescent="0.2">
      <c r="A137" s="7">
        <v>102</v>
      </c>
      <c r="B137" s="7">
        <f t="shared" ca="1" si="3"/>
        <v>6</v>
      </c>
      <c r="C137" s="7">
        <f t="shared" ca="1" si="4"/>
        <v>6</v>
      </c>
      <c r="D137" s="7">
        <f t="shared" ca="1" si="5"/>
        <v>18</v>
      </c>
      <c r="E137" s="17" cm="1">
        <f t="array" aca="1" ref="E137" ca="1">ABS(IF(Tabla1[[#This Row],[Bodega]]&gt;0,Tabla1[[#This Row],[Bodega]]*Tabla2[Costo unitario Inventario],Tabla1[[#This Row],[Bodega]]*Tabla2[Costo unitario Deficit]))</f>
        <v>9000</v>
      </c>
      <c r="F137" s="17" cm="1">
        <f t="array" aca="1" ref="F137" ca="1">(Tabla1[[#This Row],[Venta Dia]]*Tabla2[Precio de venta])-(Tabla1[[#This Row],[Venta Dia]]*Tabla2[Costo Produccion])-Tabla1[[#This Row],[Déficit bodega]]</f>
        <v>51000</v>
      </c>
    </row>
    <row r="138" spans="1:6" x14ac:dyDescent="0.2">
      <c r="A138" s="7">
        <v>103</v>
      </c>
      <c r="B138" s="7">
        <f t="shared" ca="1" si="3"/>
        <v>4</v>
      </c>
      <c r="C138" s="7">
        <f t="shared" ca="1" si="4"/>
        <v>5</v>
      </c>
      <c r="D138" s="7">
        <f t="shared" ca="1" si="5"/>
        <v>17</v>
      </c>
      <c r="E138" s="17" cm="1">
        <f t="array" aca="1" ref="E138" ca="1">ABS(IF(Tabla1[[#This Row],[Bodega]]&gt;0,Tabla1[[#This Row],[Bodega]]*Tabla2[Costo unitario Inventario],Tabla1[[#This Row],[Bodega]]*Tabla2[Costo unitario Deficit]))</f>
        <v>8500</v>
      </c>
      <c r="F138" s="17" cm="1">
        <f t="array" aca="1" ref="F138" ca="1">(Tabla1[[#This Row],[Venta Dia]]*Tabla2[Precio de venta])-(Tabla1[[#This Row],[Venta Dia]]*Tabla2[Costo Produccion])-Tabla1[[#This Row],[Déficit bodega]]</f>
        <v>41500</v>
      </c>
    </row>
    <row r="139" spans="1:6" x14ac:dyDescent="0.2">
      <c r="A139" s="7">
        <v>104</v>
      </c>
      <c r="B139" s="7">
        <f t="shared" ca="1" si="3"/>
        <v>7</v>
      </c>
      <c r="C139" s="7">
        <f t="shared" ca="1" si="4"/>
        <v>5</v>
      </c>
      <c r="D139" s="7">
        <f t="shared" ca="1" si="5"/>
        <v>19</v>
      </c>
      <c r="E139" s="17" cm="1">
        <f t="array" aca="1" ref="E139" ca="1">ABS(IF(Tabla1[[#This Row],[Bodega]]&gt;0,Tabla1[[#This Row],[Bodega]]*Tabla2[Costo unitario Inventario],Tabla1[[#This Row],[Bodega]]*Tabla2[Costo unitario Deficit]))</f>
        <v>9500</v>
      </c>
      <c r="F139" s="17" cm="1">
        <f t="array" aca="1" ref="F139" ca="1">(Tabla1[[#This Row],[Venta Dia]]*Tabla2[Precio de venta])-(Tabla1[[#This Row],[Venta Dia]]*Tabla2[Costo Produccion])-Tabla1[[#This Row],[Déficit bodega]]</f>
        <v>40500</v>
      </c>
    </row>
    <row r="140" spans="1:6" x14ac:dyDescent="0.2">
      <c r="A140" s="7">
        <v>105</v>
      </c>
      <c r="B140" s="7">
        <f t="shared" ca="1" si="3"/>
        <v>3</v>
      </c>
      <c r="C140" s="7">
        <f t="shared" ca="1" si="4"/>
        <v>5</v>
      </c>
      <c r="D140" s="7">
        <f t="shared" ca="1" si="5"/>
        <v>17</v>
      </c>
      <c r="E140" s="17" cm="1">
        <f t="array" aca="1" ref="E140" ca="1">ABS(IF(Tabla1[[#This Row],[Bodega]]&gt;0,Tabla1[[#This Row],[Bodega]]*Tabla2[Costo unitario Inventario],Tabla1[[#This Row],[Bodega]]*Tabla2[Costo unitario Deficit]))</f>
        <v>8500</v>
      </c>
      <c r="F140" s="17" cm="1">
        <f t="array" aca="1" ref="F140" ca="1">(Tabla1[[#This Row],[Venta Dia]]*Tabla2[Precio de venta])-(Tabla1[[#This Row],[Venta Dia]]*Tabla2[Costo Produccion])-Tabla1[[#This Row],[Déficit bodega]]</f>
        <v>41500</v>
      </c>
    </row>
    <row r="141" spans="1:6" x14ac:dyDescent="0.2">
      <c r="A141" s="7">
        <v>106</v>
      </c>
      <c r="B141" s="7">
        <f t="shared" ca="1" si="3"/>
        <v>3</v>
      </c>
      <c r="C141" s="7">
        <f t="shared" ca="1" si="4"/>
        <v>4</v>
      </c>
      <c r="D141" s="7">
        <f t="shared" ca="1" si="5"/>
        <v>16</v>
      </c>
      <c r="E141" s="17" cm="1">
        <f t="array" aca="1" ref="E141" ca="1">ABS(IF(Tabla1[[#This Row],[Bodega]]&gt;0,Tabla1[[#This Row],[Bodega]]*Tabla2[Costo unitario Inventario],Tabla1[[#This Row],[Bodega]]*Tabla2[Costo unitario Deficit]))</f>
        <v>8000</v>
      </c>
      <c r="F141" s="17" cm="1">
        <f t="array" aca="1" ref="F141" ca="1">(Tabla1[[#This Row],[Venta Dia]]*Tabla2[Precio de venta])-(Tabla1[[#This Row],[Venta Dia]]*Tabla2[Costo Produccion])-Tabla1[[#This Row],[Déficit bodega]]</f>
        <v>32000</v>
      </c>
    </row>
    <row r="142" spans="1:6" x14ac:dyDescent="0.2">
      <c r="A142" s="7">
        <v>107</v>
      </c>
      <c r="B142" s="7">
        <f t="shared" ca="1" si="3"/>
        <v>5</v>
      </c>
      <c r="C142" s="7">
        <f t="shared" ca="1" si="4"/>
        <v>4</v>
      </c>
      <c r="D142" s="7">
        <f t="shared" ca="1" si="5"/>
        <v>17</v>
      </c>
      <c r="E142" s="17" cm="1">
        <f t="array" aca="1" ref="E142" ca="1">ABS(IF(Tabla1[[#This Row],[Bodega]]&gt;0,Tabla1[[#This Row],[Bodega]]*Tabla2[Costo unitario Inventario],Tabla1[[#This Row],[Bodega]]*Tabla2[Costo unitario Deficit]))</f>
        <v>8500</v>
      </c>
      <c r="F142" s="17" cm="1">
        <f t="array" aca="1" ref="F142" ca="1">(Tabla1[[#This Row],[Venta Dia]]*Tabla2[Precio de venta])-(Tabla1[[#This Row],[Venta Dia]]*Tabla2[Costo Produccion])-Tabla1[[#This Row],[Déficit bodega]]</f>
        <v>31500</v>
      </c>
    </row>
    <row r="143" spans="1:6" x14ac:dyDescent="0.2">
      <c r="A143" s="7">
        <v>108</v>
      </c>
      <c r="B143" s="7">
        <f t="shared" ca="1" si="3"/>
        <v>3</v>
      </c>
      <c r="C143" s="7">
        <f t="shared" ca="1" si="4"/>
        <v>5</v>
      </c>
      <c r="D143" s="7">
        <f t="shared" ca="1" si="5"/>
        <v>15</v>
      </c>
      <c r="E143" s="17" cm="1">
        <f t="array" aca="1" ref="E143" ca="1">ABS(IF(Tabla1[[#This Row],[Bodega]]&gt;0,Tabla1[[#This Row],[Bodega]]*Tabla2[Costo unitario Inventario],Tabla1[[#This Row],[Bodega]]*Tabla2[Costo unitario Deficit]))</f>
        <v>7500</v>
      </c>
      <c r="F143" s="17" cm="1">
        <f t="array" aca="1" ref="F143" ca="1">(Tabla1[[#This Row],[Venta Dia]]*Tabla2[Precio de venta])-(Tabla1[[#This Row],[Venta Dia]]*Tabla2[Costo Produccion])-Tabla1[[#This Row],[Déficit bodega]]</f>
        <v>42500</v>
      </c>
    </row>
    <row r="144" spans="1:6" x14ac:dyDescent="0.2">
      <c r="A144" s="7">
        <v>109</v>
      </c>
      <c r="B144" s="7">
        <f t="shared" ca="1" si="3"/>
        <v>6</v>
      </c>
      <c r="C144" s="7">
        <f t="shared" ca="1" si="4"/>
        <v>5</v>
      </c>
      <c r="D144" s="7">
        <f t="shared" ca="1" si="5"/>
        <v>16</v>
      </c>
      <c r="E144" s="17" cm="1">
        <f t="array" aca="1" ref="E144" ca="1">ABS(IF(Tabla1[[#This Row],[Bodega]]&gt;0,Tabla1[[#This Row],[Bodega]]*Tabla2[Costo unitario Inventario],Tabla1[[#This Row],[Bodega]]*Tabla2[Costo unitario Deficit]))</f>
        <v>8000</v>
      </c>
      <c r="F144" s="17" cm="1">
        <f t="array" aca="1" ref="F144" ca="1">(Tabla1[[#This Row],[Venta Dia]]*Tabla2[Precio de venta])-(Tabla1[[#This Row],[Venta Dia]]*Tabla2[Costo Produccion])-Tabla1[[#This Row],[Déficit bodega]]</f>
        <v>42000</v>
      </c>
    </row>
    <row r="145" spans="1:6" x14ac:dyDescent="0.2">
      <c r="A145" s="7">
        <v>110</v>
      </c>
      <c r="B145" s="7">
        <f t="shared" ca="1" si="3"/>
        <v>4</v>
      </c>
      <c r="C145" s="7">
        <f t="shared" ca="1" si="4"/>
        <v>5</v>
      </c>
      <c r="D145" s="7">
        <f t="shared" ca="1" si="5"/>
        <v>15</v>
      </c>
      <c r="E145" s="17" cm="1">
        <f t="array" aca="1" ref="E145" ca="1">ABS(IF(Tabla1[[#This Row],[Bodega]]&gt;0,Tabla1[[#This Row],[Bodega]]*Tabla2[Costo unitario Inventario],Tabla1[[#This Row],[Bodega]]*Tabla2[Costo unitario Deficit]))</f>
        <v>7500</v>
      </c>
      <c r="F145" s="17" cm="1">
        <f t="array" aca="1" ref="F145" ca="1">(Tabla1[[#This Row],[Venta Dia]]*Tabla2[Precio de venta])-(Tabla1[[#This Row],[Venta Dia]]*Tabla2[Costo Produccion])-Tabla1[[#This Row],[Déficit bodega]]</f>
        <v>42500</v>
      </c>
    </row>
    <row r="146" spans="1:6" x14ac:dyDescent="0.2">
      <c r="A146" s="7">
        <v>111</v>
      </c>
      <c r="B146" s="7">
        <f t="shared" ca="1" si="3"/>
        <v>3</v>
      </c>
      <c r="C146" s="7">
        <f t="shared" ca="1" si="4"/>
        <v>5</v>
      </c>
      <c r="D146" s="7">
        <f t="shared" ca="1" si="5"/>
        <v>13</v>
      </c>
      <c r="E146" s="17" cm="1">
        <f t="array" aca="1" ref="E146" ca="1">ABS(IF(Tabla1[[#This Row],[Bodega]]&gt;0,Tabla1[[#This Row],[Bodega]]*Tabla2[Costo unitario Inventario],Tabla1[[#This Row],[Bodega]]*Tabla2[Costo unitario Deficit]))</f>
        <v>6500</v>
      </c>
      <c r="F146" s="17" cm="1">
        <f t="array" aca="1" ref="F146" ca="1">(Tabla1[[#This Row],[Venta Dia]]*Tabla2[Precio de venta])-(Tabla1[[#This Row],[Venta Dia]]*Tabla2[Costo Produccion])-Tabla1[[#This Row],[Déficit bodega]]</f>
        <v>43500</v>
      </c>
    </row>
    <row r="147" spans="1:6" x14ac:dyDescent="0.2">
      <c r="A147" s="7">
        <v>112</v>
      </c>
      <c r="B147" s="7">
        <f t="shared" ca="1" si="3"/>
        <v>4</v>
      </c>
      <c r="C147" s="7">
        <f t="shared" ca="1" si="4"/>
        <v>5</v>
      </c>
      <c r="D147" s="7">
        <f t="shared" ca="1" si="5"/>
        <v>12</v>
      </c>
      <c r="E147" s="17" cm="1">
        <f t="array" aca="1" ref="E147" ca="1">ABS(IF(Tabla1[[#This Row],[Bodega]]&gt;0,Tabla1[[#This Row],[Bodega]]*Tabla2[Costo unitario Inventario],Tabla1[[#This Row],[Bodega]]*Tabla2[Costo unitario Deficit]))</f>
        <v>6000</v>
      </c>
      <c r="F147" s="17" cm="1">
        <f t="array" aca="1" ref="F147" ca="1">(Tabla1[[#This Row],[Venta Dia]]*Tabla2[Precio de venta])-(Tabla1[[#This Row],[Venta Dia]]*Tabla2[Costo Produccion])-Tabla1[[#This Row],[Déficit bodega]]</f>
        <v>44000</v>
      </c>
    </row>
    <row r="148" spans="1:6" x14ac:dyDescent="0.2">
      <c r="A148" s="7">
        <v>113</v>
      </c>
      <c r="B148" s="7">
        <f t="shared" ca="1" si="3"/>
        <v>5</v>
      </c>
      <c r="C148" s="7">
        <f t="shared" ca="1" si="4"/>
        <v>5</v>
      </c>
      <c r="D148" s="7">
        <f t="shared" ca="1" si="5"/>
        <v>12</v>
      </c>
      <c r="E148" s="17" cm="1">
        <f t="array" aca="1" ref="E148" ca="1">ABS(IF(Tabla1[[#This Row],[Bodega]]&gt;0,Tabla1[[#This Row],[Bodega]]*Tabla2[Costo unitario Inventario],Tabla1[[#This Row],[Bodega]]*Tabla2[Costo unitario Deficit]))</f>
        <v>6000</v>
      </c>
      <c r="F148" s="17" cm="1">
        <f t="array" aca="1" ref="F148" ca="1">(Tabla1[[#This Row],[Venta Dia]]*Tabla2[Precio de venta])-(Tabla1[[#This Row],[Venta Dia]]*Tabla2[Costo Produccion])-Tabla1[[#This Row],[Déficit bodega]]</f>
        <v>44000</v>
      </c>
    </row>
    <row r="149" spans="1:6" x14ac:dyDescent="0.2">
      <c r="A149" s="7">
        <v>114</v>
      </c>
      <c r="B149" s="7">
        <f t="shared" ca="1" si="3"/>
        <v>7</v>
      </c>
      <c r="C149" s="7">
        <f t="shared" ca="1" si="4"/>
        <v>5</v>
      </c>
      <c r="D149" s="7">
        <f t="shared" ca="1" si="5"/>
        <v>14</v>
      </c>
      <c r="E149" s="17" cm="1">
        <f t="array" aca="1" ref="E149" ca="1">ABS(IF(Tabla1[[#This Row],[Bodega]]&gt;0,Tabla1[[#This Row],[Bodega]]*Tabla2[Costo unitario Inventario],Tabla1[[#This Row],[Bodega]]*Tabla2[Costo unitario Deficit]))</f>
        <v>7000</v>
      </c>
      <c r="F149" s="17" cm="1">
        <f t="array" aca="1" ref="F149" ca="1">(Tabla1[[#This Row],[Venta Dia]]*Tabla2[Precio de venta])-(Tabla1[[#This Row],[Venta Dia]]*Tabla2[Costo Produccion])-Tabla1[[#This Row],[Déficit bodega]]</f>
        <v>43000</v>
      </c>
    </row>
    <row r="150" spans="1:6" x14ac:dyDescent="0.2">
      <c r="A150" s="7">
        <v>115</v>
      </c>
      <c r="B150" s="7">
        <f t="shared" ca="1" si="3"/>
        <v>5</v>
      </c>
      <c r="C150" s="7">
        <f t="shared" ca="1" si="4"/>
        <v>4</v>
      </c>
      <c r="D150" s="7">
        <f t="shared" ca="1" si="5"/>
        <v>15</v>
      </c>
      <c r="E150" s="17" cm="1">
        <f t="array" aca="1" ref="E150" ca="1">ABS(IF(Tabla1[[#This Row],[Bodega]]&gt;0,Tabla1[[#This Row],[Bodega]]*Tabla2[Costo unitario Inventario],Tabla1[[#This Row],[Bodega]]*Tabla2[Costo unitario Deficit]))</f>
        <v>7500</v>
      </c>
      <c r="F150" s="17" cm="1">
        <f t="array" aca="1" ref="F150" ca="1">(Tabla1[[#This Row],[Venta Dia]]*Tabla2[Precio de venta])-(Tabla1[[#This Row],[Venta Dia]]*Tabla2[Costo Produccion])-Tabla1[[#This Row],[Déficit bodega]]</f>
        <v>32500</v>
      </c>
    </row>
    <row r="151" spans="1:6" x14ac:dyDescent="0.2">
      <c r="A151" s="7">
        <v>116</v>
      </c>
      <c r="B151" s="7">
        <f t="shared" ca="1" si="3"/>
        <v>5</v>
      </c>
      <c r="C151" s="7">
        <f t="shared" ca="1" si="4"/>
        <v>5</v>
      </c>
      <c r="D151" s="7">
        <f t="shared" ca="1" si="5"/>
        <v>15</v>
      </c>
      <c r="E151" s="17" cm="1">
        <f t="array" aca="1" ref="E151" ca="1">ABS(IF(Tabla1[[#This Row],[Bodega]]&gt;0,Tabla1[[#This Row],[Bodega]]*Tabla2[Costo unitario Inventario],Tabla1[[#This Row],[Bodega]]*Tabla2[Costo unitario Deficit]))</f>
        <v>7500</v>
      </c>
      <c r="F151" s="17" cm="1">
        <f t="array" aca="1" ref="F151" ca="1">(Tabla1[[#This Row],[Venta Dia]]*Tabla2[Precio de venta])-(Tabla1[[#This Row],[Venta Dia]]*Tabla2[Costo Produccion])-Tabla1[[#This Row],[Déficit bodega]]</f>
        <v>42500</v>
      </c>
    </row>
    <row r="152" spans="1:6" x14ac:dyDescent="0.2">
      <c r="A152" s="7">
        <v>117</v>
      </c>
      <c r="B152" s="7">
        <f t="shared" ca="1" si="3"/>
        <v>3</v>
      </c>
      <c r="C152" s="7">
        <f t="shared" ca="1" si="4"/>
        <v>5</v>
      </c>
      <c r="D152" s="7">
        <f t="shared" ca="1" si="5"/>
        <v>13</v>
      </c>
      <c r="E152" s="17" cm="1">
        <f t="array" aca="1" ref="E152" ca="1">ABS(IF(Tabla1[[#This Row],[Bodega]]&gt;0,Tabla1[[#This Row],[Bodega]]*Tabla2[Costo unitario Inventario],Tabla1[[#This Row],[Bodega]]*Tabla2[Costo unitario Deficit]))</f>
        <v>6500</v>
      </c>
      <c r="F152" s="17" cm="1">
        <f t="array" aca="1" ref="F152" ca="1">(Tabla1[[#This Row],[Venta Dia]]*Tabla2[Precio de venta])-(Tabla1[[#This Row],[Venta Dia]]*Tabla2[Costo Produccion])-Tabla1[[#This Row],[Déficit bodega]]</f>
        <v>43500</v>
      </c>
    </row>
    <row r="153" spans="1:6" x14ac:dyDescent="0.2">
      <c r="A153" s="7">
        <v>118</v>
      </c>
      <c r="B153" s="7">
        <f t="shared" ca="1" si="3"/>
        <v>4</v>
      </c>
      <c r="C153" s="7">
        <f t="shared" ca="1" si="4"/>
        <v>4</v>
      </c>
      <c r="D153" s="7">
        <f t="shared" ca="1" si="5"/>
        <v>13</v>
      </c>
      <c r="E153" s="17" cm="1">
        <f t="array" aca="1" ref="E153" ca="1">ABS(IF(Tabla1[[#This Row],[Bodega]]&gt;0,Tabla1[[#This Row],[Bodega]]*Tabla2[Costo unitario Inventario],Tabla1[[#This Row],[Bodega]]*Tabla2[Costo unitario Deficit]))</f>
        <v>6500</v>
      </c>
      <c r="F153" s="17" cm="1">
        <f t="array" aca="1" ref="F153" ca="1">(Tabla1[[#This Row],[Venta Dia]]*Tabla2[Precio de venta])-(Tabla1[[#This Row],[Venta Dia]]*Tabla2[Costo Produccion])-Tabla1[[#This Row],[Déficit bodega]]</f>
        <v>33500</v>
      </c>
    </row>
    <row r="154" spans="1:6" x14ac:dyDescent="0.2">
      <c r="A154" s="7">
        <v>119</v>
      </c>
      <c r="B154" s="7">
        <f t="shared" ca="1" si="3"/>
        <v>5</v>
      </c>
      <c r="C154" s="7">
        <f t="shared" ca="1" si="4"/>
        <v>5</v>
      </c>
      <c r="D154" s="7">
        <f t="shared" ca="1" si="5"/>
        <v>13</v>
      </c>
      <c r="E154" s="17" cm="1">
        <f t="array" aca="1" ref="E154" ca="1">ABS(IF(Tabla1[[#This Row],[Bodega]]&gt;0,Tabla1[[#This Row],[Bodega]]*Tabla2[Costo unitario Inventario],Tabla1[[#This Row],[Bodega]]*Tabla2[Costo unitario Deficit]))</f>
        <v>6500</v>
      </c>
      <c r="F154" s="17" cm="1">
        <f t="array" aca="1" ref="F154" ca="1">(Tabla1[[#This Row],[Venta Dia]]*Tabla2[Precio de venta])-(Tabla1[[#This Row],[Venta Dia]]*Tabla2[Costo Produccion])-Tabla1[[#This Row],[Déficit bodega]]</f>
        <v>43500</v>
      </c>
    </row>
    <row r="155" spans="1:6" x14ac:dyDescent="0.2">
      <c r="A155" s="7">
        <v>120</v>
      </c>
      <c r="B155" s="7">
        <f t="shared" ca="1" si="3"/>
        <v>5</v>
      </c>
      <c r="C155" s="7">
        <f t="shared" ca="1" si="4"/>
        <v>4</v>
      </c>
      <c r="D155" s="7">
        <f t="shared" ca="1" si="5"/>
        <v>14</v>
      </c>
      <c r="E155" s="17" cm="1">
        <f t="array" aca="1" ref="E155" ca="1">ABS(IF(Tabla1[[#This Row],[Bodega]]&gt;0,Tabla1[[#This Row],[Bodega]]*Tabla2[Costo unitario Inventario],Tabla1[[#This Row],[Bodega]]*Tabla2[Costo unitario Deficit]))</f>
        <v>7000</v>
      </c>
      <c r="F155" s="17" cm="1">
        <f t="array" aca="1" ref="F155" ca="1">(Tabla1[[#This Row],[Venta Dia]]*Tabla2[Precio de venta])-(Tabla1[[#This Row],[Venta Dia]]*Tabla2[Costo Produccion])-Tabla1[[#This Row],[Déficit bodega]]</f>
        <v>33000</v>
      </c>
    </row>
    <row r="156" spans="1:6" x14ac:dyDescent="0.2">
      <c r="A156" s="7">
        <v>121</v>
      </c>
      <c r="B156" s="7">
        <f t="shared" ca="1" si="3"/>
        <v>7</v>
      </c>
      <c r="C156" s="7">
        <f t="shared" ca="1" si="4"/>
        <v>4</v>
      </c>
      <c r="D156" s="7">
        <f t="shared" ca="1" si="5"/>
        <v>17</v>
      </c>
      <c r="E156" s="17" cm="1">
        <f t="array" aca="1" ref="E156" ca="1">ABS(IF(Tabla1[[#This Row],[Bodega]]&gt;0,Tabla1[[#This Row],[Bodega]]*Tabla2[Costo unitario Inventario],Tabla1[[#This Row],[Bodega]]*Tabla2[Costo unitario Deficit]))</f>
        <v>8500</v>
      </c>
      <c r="F156" s="17" cm="1">
        <f t="array" aca="1" ref="F156" ca="1">(Tabla1[[#This Row],[Venta Dia]]*Tabla2[Precio de venta])-(Tabla1[[#This Row],[Venta Dia]]*Tabla2[Costo Produccion])-Tabla1[[#This Row],[Déficit bodega]]</f>
        <v>31500</v>
      </c>
    </row>
    <row r="157" spans="1:6" x14ac:dyDescent="0.2">
      <c r="A157" s="7">
        <v>122</v>
      </c>
      <c r="B157" s="7">
        <f t="shared" ca="1" si="3"/>
        <v>5</v>
      </c>
      <c r="C157" s="7">
        <f t="shared" ca="1" si="4"/>
        <v>4</v>
      </c>
      <c r="D157" s="7">
        <f t="shared" ca="1" si="5"/>
        <v>18</v>
      </c>
      <c r="E157" s="17" cm="1">
        <f t="array" aca="1" ref="E157" ca="1">ABS(IF(Tabla1[[#This Row],[Bodega]]&gt;0,Tabla1[[#This Row],[Bodega]]*Tabla2[Costo unitario Inventario],Tabla1[[#This Row],[Bodega]]*Tabla2[Costo unitario Deficit]))</f>
        <v>9000</v>
      </c>
      <c r="F157" s="17" cm="1">
        <f t="array" aca="1" ref="F157" ca="1">(Tabla1[[#This Row],[Venta Dia]]*Tabla2[Precio de venta])-(Tabla1[[#This Row],[Venta Dia]]*Tabla2[Costo Produccion])-Tabla1[[#This Row],[Déficit bodega]]</f>
        <v>31000</v>
      </c>
    </row>
    <row r="158" spans="1:6" x14ac:dyDescent="0.2">
      <c r="A158" s="7">
        <v>123</v>
      </c>
      <c r="B158" s="7">
        <f t="shared" ca="1" si="3"/>
        <v>4</v>
      </c>
      <c r="C158" s="7">
        <f t="shared" ca="1" si="4"/>
        <v>5</v>
      </c>
      <c r="D158" s="7">
        <f t="shared" ca="1" si="5"/>
        <v>17</v>
      </c>
      <c r="E158" s="17" cm="1">
        <f t="array" aca="1" ref="E158" ca="1">ABS(IF(Tabla1[[#This Row],[Bodega]]&gt;0,Tabla1[[#This Row],[Bodega]]*Tabla2[Costo unitario Inventario],Tabla1[[#This Row],[Bodega]]*Tabla2[Costo unitario Deficit]))</f>
        <v>8500</v>
      </c>
      <c r="F158" s="17" cm="1">
        <f t="array" aca="1" ref="F158" ca="1">(Tabla1[[#This Row],[Venta Dia]]*Tabla2[Precio de venta])-(Tabla1[[#This Row],[Venta Dia]]*Tabla2[Costo Produccion])-Tabla1[[#This Row],[Déficit bodega]]</f>
        <v>41500</v>
      </c>
    </row>
    <row r="159" spans="1:6" x14ac:dyDescent="0.2">
      <c r="A159" s="7">
        <v>124</v>
      </c>
      <c r="B159" s="7">
        <f t="shared" ca="1" si="3"/>
        <v>3</v>
      </c>
      <c r="C159" s="7">
        <f t="shared" ca="1" si="4"/>
        <v>5</v>
      </c>
      <c r="D159" s="7">
        <f t="shared" ca="1" si="5"/>
        <v>15</v>
      </c>
      <c r="E159" s="17" cm="1">
        <f t="array" aca="1" ref="E159" ca="1">ABS(IF(Tabla1[[#This Row],[Bodega]]&gt;0,Tabla1[[#This Row],[Bodega]]*Tabla2[Costo unitario Inventario],Tabla1[[#This Row],[Bodega]]*Tabla2[Costo unitario Deficit]))</f>
        <v>7500</v>
      </c>
      <c r="F159" s="17" cm="1">
        <f t="array" aca="1" ref="F159" ca="1">(Tabla1[[#This Row],[Venta Dia]]*Tabla2[Precio de venta])-(Tabla1[[#This Row],[Venta Dia]]*Tabla2[Costo Produccion])-Tabla1[[#This Row],[Déficit bodega]]</f>
        <v>42500</v>
      </c>
    </row>
    <row r="160" spans="1:6" x14ac:dyDescent="0.2">
      <c r="A160" s="7">
        <v>125</v>
      </c>
      <c r="B160" s="7">
        <f t="shared" ca="1" si="3"/>
        <v>5</v>
      </c>
      <c r="C160" s="7">
        <f t="shared" ca="1" si="4"/>
        <v>4</v>
      </c>
      <c r="D160" s="7">
        <f t="shared" ca="1" si="5"/>
        <v>16</v>
      </c>
      <c r="E160" s="17" cm="1">
        <f t="array" aca="1" ref="E160" ca="1">ABS(IF(Tabla1[[#This Row],[Bodega]]&gt;0,Tabla1[[#This Row],[Bodega]]*Tabla2[Costo unitario Inventario],Tabla1[[#This Row],[Bodega]]*Tabla2[Costo unitario Deficit]))</f>
        <v>8000</v>
      </c>
      <c r="F160" s="17" cm="1">
        <f t="array" aca="1" ref="F160" ca="1">(Tabla1[[#This Row],[Venta Dia]]*Tabla2[Precio de venta])-(Tabla1[[#This Row],[Venta Dia]]*Tabla2[Costo Produccion])-Tabla1[[#This Row],[Déficit bodega]]</f>
        <v>32000</v>
      </c>
    </row>
    <row r="161" spans="1:6" x14ac:dyDescent="0.2">
      <c r="A161" s="7">
        <v>126</v>
      </c>
      <c r="B161" s="7">
        <f t="shared" ca="1" si="3"/>
        <v>4</v>
      </c>
      <c r="C161" s="7">
        <f t="shared" ca="1" si="4"/>
        <v>4</v>
      </c>
      <c r="D161" s="7">
        <f t="shared" ca="1" si="5"/>
        <v>16</v>
      </c>
      <c r="E161" s="17" cm="1">
        <f t="array" aca="1" ref="E161" ca="1">ABS(IF(Tabla1[[#This Row],[Bodega]]&gt;0,Tabla1[[#This Row],[Bodega]]*Tabla2[Costo unitario Inventario],Tabla1[[#This Row],[Bodega]]*Tabla2[Costo unitario Deficit]))</f>
        <v>8000</v>
      </c>
      <c r="F161" s="17" cm="1">
        <f t="array" aca="1" ref="F161" ca="1">(Tabla1[[#This Row],[Venta Dia]]*Tabla2[Precio de venta])-(Tabla1[[#This Row],[Venta Dia]]*Tabla2[Costo Produccion])-Tabla1[[#This Row],[Déficit bodega]]</f>
        <v>32000</v>
      </c>
    </row>
    <row r="162" spans="1:6" x14ac:dyDescent="0.2">
      <c r="A162" s="7">
        <v>127</v>
      </c>
      <c r="B162" s="7">
        <f t="shared" ca="1" si="3"/>
        <v>4</v>
      </c>
      <c r="C162" s="7">
        <f t="shared" ca="1" si="4"/>
        <v>4</v>
      </c>
      <c r="D162" s="7">
        <f t="shared" ca="1" si="5"/>
        <v>16</v>
      </c>
      <c r="E162" s="17" cm="1">
        <f t="array" aca="1" ref="E162" ca="1">ABS(IF(Tabla1[[#This Row],[Bodega]]&gt;0,Tabla1[[#This Row],[Bodega]]*Tabla2[Costo unitario Inventario],Tabla1[[#This Row],[Bodega]]*Tabla2[Costo unitario Deficit]))</f>
        <v>8000</v>
      </c>
      <c r="F162" s="17" cm="1">
        <f t="array" aca="1" ref="F162" ca="1">(Tabla1[[#This Row],[Venta Dia]]*Tabla2[Precio de venta])-(Tabla1[[#This Row],[Venta Dia]]*Tabla2[Costo Produccion])-Tabla1[[#This Row],[Déficit bodega]]</f>
        <v>32000</v>
      </c>
    </row>
    <row r="163" spans="1:6" x14ac:dyDescent="0.2">
      <c r="A163" s="7">
        <v>128</v>
      </c>
      <c r="B163" s="7">
        <f t="shared" ca="1" si="3"/>
        <v>7</v>
      </c>
      <c r="C163" s="7">
        <f t="shared" ca="1" si="4"/>
        <v>5</v>
      </c>
      <c r="D163" s="7">
        <f t="shared" ca="1" si="5"/>
        <v>18</v>
      </c>
      <c r="E163" s="17" cm="1">
        <f t="array" aca="1" ref="E163" ca="1">ABS(IF(Tabla1[[#This Row],[Bodega]]&gt;0,Tabla1[[#This Row],[Bodega]]*Tabla2[Costo unitario Inventario],Tabla1[[#This Row],[Bodega]]*Tabla2[Costo unitario Deficit]))</f>
        <v>9000</v>
      </c>
      <c r="F163" s="17" cm="1">
        <f t="array" aca="1" ref="F163" ca="1">(Tabla1[[#This Row],[Venta Dia]]*Tabla2[Precio de venta])-(Tabla1[[#This Row],[Venta Dia]]*Tabla2[Costo Produccion])-Tabla1[[#This Row],[Déficit bodega]]</f>
        <v>41000</v>
      </c>
    </row>
    <row r="164" spans="1:6" x14ac:dyDescent="0.2">
      <c r="A164" s="7">
        <v>129</v>
      </c>
      <c r="B164" s="7">
        <f t="shared" ref="B164:B227" ca="1" si="6">RANDBETWEEN($A$33,$B$33)</f>
        <v>5</v>
      </c>
      <c r="C164" s="7">
        <f t="shared" ca="1" si="4"/>
        <v>5</v>
      </c>
      <c r="D164" s="7">
        <f t="shared" ca="1" si="5"/>
        <v>18</v>
      </c>
      <c r="E164" s="17" cm="1">
        <f t="array" aca="1" ref="E164" ca="1">ABS(IF(Tabla1[[#This Row],[Bodega]]&gt;0,Tabla1[[#This Row],[Bodega]]*Tabla2[Costo unitario Inventario],Tabla1[[#This Row],[Bodega]]*Tabla2[Costo unitario Deficit]))</f>
        <v>9000</v>
      </c>
      <c r="F164" s="17" cm="1">
        <f t="array" aca="1" ref="F164" ca="1">(Tabla1[[#This Row],[Venta Dia]]*Tabla2[Precio de venta])-(Tabla1[[#This Row],[Venta Dia]]*Tabla2[Costo Produccion])-Tabla1[[#This Row],[Déficit bodega]]</f>
        <v>41000</v>
      </c>
    </row>
    <row r="165" spans="1:6" x14ac:dyDescent="0.2">
      <c r="A165" s="7">
        <v>130</v>
      </c>
      <c r="B165" s="7">
        <f t="shared" ca="1" si="6"/>
        <v>6</v>
      </c>
      <c r="C165" s="7">
        <f t="shared" ref="C165:C228" ca="1" si="7">IF(RAND()&gt;=0.5,5,IF(RAND()&gt;=0.2,4,6))</f>
        <v>5</v>
      </c>
      <c r="D165" s="7">
        <f t="shared" ca="1" si="5"/>
        <v>19</v>
      </c>
      <c r="E165" s="17" cm="1">
        <f t="array" aca="1" ref="E165" ca="1">ABS(IF(Tabla1[[#This Row],[Bodega]]&gt;0,Tabla1[[#This Row],[Bodega]]*Tabla2[Costo unitario Inventario],Tabla1[[#This Row],[Bodega]]*Tabla2[Costo unitario Deficit]))</f>
        <v>9500</v>
      </c>
      <c r="F165" s="17" cm="1">
        <f t="array" aca="1" ref="F165" ca="1">(Tabla1[[#This Row],[Venta Dia]]*Tabla2[Precio de venta])-(Tabla1[[#This Row],[Venta Dia]]*Tabla2[Costo Produccion])-Tabla1[[#This Row],[Déficit bodega]]</f>
        <v>40500</v>
      </c>
    </row>
    <row r="166" spans="1:6" x14ac:dyDescent="0.2">
      <c r="A166" s="7">
        <v>131</v>
      </c>
      <c r="B166" s="7">
        <f t="shared" ca="1" si="6"/>
        <v>4</v>
      </c>
      <c r="C166" s="7">
        <f t="shared" ca="1" si="7"/>
        <v>5</v>
      </c>
      <c r="D166" s="7">
        <f t="shared" ref="D166:D229" ca="1" si="8">D165+B166-C166</f>
        <v>18</v>
      </c>
      <c r="E166" s="17" cm="1">
        <f t="array" aca="1" ref="E166" ca="1">ABS(IF(Tabla1[[#This Row],[Bodega]]&gt;0,Tabla1[[#This Row],[Bodega]]*Tabla2[Costo unitario Inventario],Tabla1[[#This Row],[Bodega]]*Tabla2[Costo unitario Deficit]))</f>
        <v>9000</v>
      </c>
      <c r="F166" s="17" cm="1">
        <f t="array" aca="1" ref="F166" ca="1">(Tabla1[[#This Row],[Venta Dia]]*Tabla2[Precio de venta])-(Tabla1[[#This Row],[Venta Dia]]*Tabla2[Costo Produccion])-Tabla1[[#This Row],[Déficit bodega]]</f>
        <v>41000</v>
      </c>
    </row>
    <row r="167" spans="1:6" x14ac:dyDescent="0.2">
      <c r="A167" s="7">
        <v>132</v>
      </c>
      <c r="B167" s="7">
        <f t="shared" ca="1" si="6"/>
        <v>7</v>
      </c>
      <c r="C167" s="7">
        <f t="shared" ca="1" si="7"/>
        <v>4</v>
      </c>
      <c r="D167" s="7">
        <f t="shared" ca="1" si="8"/>
        <v>21</v>
      </c>
      <c r="E167" s="17" cm="1">
        <f t="array" aca="1" ref="E167" ca="1">ABS(IF(Tabla1[[#This Row],[Bodega]]&gt;0,Tabla1[[#This Row],[Bodega]]*Tabla2[Costo unitario Inventario],Tabla1[[#This Row],[Bodega]]*Tabla2[Costo unitario Deficit]))</f>
        <v>10500</v>
      </c>
      <c r="F167" s="17" cm="1">
        <f t="array" aca="1" ref="F167" ca="1">(Tabla1[[#This Row],[Venta Dia]]*Tabla2[Precio de venta])-(Tabla1[[#This Row],[Venta Dia]]*Tabla2[Costo Produccion])-Tabla1[[#This Row],[Déficit bodega]]</f>
        <v>29500</v>
      </c>
    </row>
    <row r="168" spans="1:6" x14ac:dyDescent="0.2">
      <c r="A168" s="7">
        <v>133</v>
      </c>
      <c r="B168" s="7">
        <f t="shared" ca="1" si="6"/>
        <v>6</v>
      </c>
      <c r="C168" s="7">
        <f t="shared" ca="1" si="7"/>
        <v>5</v>
      </c>
      <c r="D168" s="7">
        <f t="shared" ca="1" si="8"/>
        <v>22</v>
      </c>
      <c r="E168" s="17" cm="1">
        <f t="array" aca="1" ref="E168" ca="1">ABS(IF(Tabla1[[#This Row],[Bodega]]&gt;0,Tabla1[[#This Row],[Bodega]]*Tabla2[Costo unitario Inventario],Tabla1[[#This Row],[Bodega]]*Tabla2[Costo unitario Deficit]))</f>
        <v>11000</v>
      </c>
      <c r="F168" s="17" cm="1">
        <f t="array" aca="1" ref="F168" ca="1">(Tabla1[[#This Row],[Venta Dia]]*Tabla2[Precio de venta])-(Tabla1[[#This Row],[Venta Dia]]*Tabla2[Costo Produccion])-Tabla1[[#This Row],[Déficit bodega]]</f>
        <v>39000</v>
      </c>
    </row>
    <row r="169" spans="1:6" x14ac:dyDescent="0.2">
      <c r="A169" s="7">
        <v>134</v>
      </c>
      <c r="B169" s="7">
        <f t="shared" ca="1" si="6"/>
        <v>7</v>
      </c>
      <c r="C169" s="7">
        <f t="shared" ca="1" si="7"/>
        <v>4</v>
      </c>
      <c r="D169" s="7">
        <f t="shared" ca="1" si="8"/>
        <v>25</v>
      </c>
      <c r="E169" s="17" cm="1">
        <f t="array" aca="1" ref="E169" ca="1">ABS(IF(Tabla1[[#This Row],[Bodega]]&gt;0,Tabla1[[#This Row],[Bodega]]*Tabla2[Costo unitario Inventario],Tabla1[[#This Row],[Bodega]]*Tabla2[Costo unitario Deficit]))</f>
        <v>12500</v>
      </c>
      <c r="F169" s="17" cm="1">
        <f t="array" aca="1" ref="F169" ca="1">(Tabla1[[#This Row],[Venta Dia]]*Tabla2[Precio de venta])-(Tabla1[[#This Row],[Venta Dia]]*Tabla2[Costo Produccion])-Tabla1[[#This Row],[Déficit bodega]]</f>
        <v>27500</v>
      </c>
    </row>
    <row r="170" spans="1:6" x14ac:dyDescent="0.2">
      <c r="A170" s="7">
        <v>135</v>
      </c>
      <c r="B170" s="7">
        <f t="shared" ca="1" si="6"/>
        <v>7</v>
      </c>
      <c r="C170" s="7">
        <f t="shared" ca="1" si="7"/>
        <v>5</v>
      </c>
      <c r="D170" s="7">
        <f t="shared" ca="1" si="8"/>
        <v>27</v>
      </c>
      <c r="E170" s="17" cm="1">
        <f t="array" aca="1" ref="E170" ca="1">ABS(IF(Tabla1[[#This Row],[Bodega]]&gt;0,Tabla1[[#This Row],[Bodega]]*Tabla2[Costo unitario Inventario],Tabla1[[#This Row],[Bodega]]*Tabla2[Costo unitario Deficit]))</f>
        <v>13500</v>
      </c>
      <c r="F170" s="17" cm="1">
        <f t="array" aca="1" ref="F170" ca="1">(Tabla1[[#This Row],[Venta Dia]]*Tabla2[Precio de venta])-(Tabla1[[#This Row],[Venta Dia]]*Tabla2[Costo Produccion])-Tabla1[[#This Row],[Déficit bodega]]</f>
        <v>36500</v>
      </c>
    </row>
    <row r="171" spans="1:6" x14ac:dyDescent="0.2">
      <c r="A171" s="7">
        <v>136</v>
      </c>
      <c r="B171" s="7">
        <f t="shared" ca="1" si="6"/>
        <v>3</v>
      </c>
      <c r="C171" s="7">
        <f t="shared" ca="1" si="7"/>
        <v>6</v>
      </c>
      <c r="D171" s="7">
        <f t="shared" ca="1" si="8"/>
        <v>24</v>
      </c>
      <c r="E171" s="17" cm="1">
        <f t="array" aca="1" ref="E171" ca="1">ABS(IF(Tabla1[[#This Row],[Bodega]]&gt;0,Tabla1[[#This Row],[Bodega]]*Tabla2[Costo unitario Inventario],Tabla1[[#This Row],[Bodega]]*Tabla2[Costo unitario Deficit]))</f>
        <v>12000</v>
      </c>
      <c r="F171" s="17" cm="1">
        <f t="array" aca="1" ref="F171" ca="1">(Tabla1[[#This Row],[Venta Dia]]*Tabla2[Precio de venta])-(Tabla1[[#This Row],[Venta Dia]]*Tabla2[Costo Produccion])-Tabla1[[#This Row],[Déficit bodega]]</f>
        <v>48000</v>
      </c>
    </row>
    <row r="172" spans="1:6" x14ac:dyDescent="0.2">
      <c r="A172" s="7">
        <v>137</v>
      </c>
      <c r="B172" s="7">
        <f t="shared" ca="1" si="6"/>
        <v>6</v>
      </c>
      <c r="C172" s="7">
        <f t="shared" ca="1" si="7"/>
        <v>4</v>
      </c>
      <c r="D172" s="7">
        <f t="shared" ca="1" si="8"/>
        <v>26</v>
      </c>
      <c r="E172" s="17" cm="1">
        <f t="array" aca="1" ref="E172" ca="1">ABS(IF(Tabla1[[#This Row],[Bodega]]&gt;0,Tabla1[[#This Row],[Bodega]]*Tabla2[Costo unitario Inventario],Tabla1[[#This Row],[Bodega]]*Tabla2[Costo unitario Deficit]))</f>
        <v>13000</v>
      </c>
      <c r="F172" s="17" cm="1">
        <f t="array" aca="1" ref="F172" ca="1">(Tabla1[[#This Row],[Venta Dia]]*Tabla2[Precio de venta])-(Tabla1[[#This Row],[Venta Dia]]*Tabla2[Costo Produccion])-Tabla1[[#This Row],[Déficit bodega]]</f>
        <v>27000</v>
      </c>
    </row>
    <row r="173" spans="1:6" x14ac:dyDescent="0.2">
      <c r="A173" s="7">
        <v>138</v>
      </c>
      <c r="B173" s="7">
        <f t="shared" ca="1" si="6"/>
        <v>5</v>
      </c>
      <c r="C173" s="7">
        <f t="shared" ca="1" si="7"/>
        <v>4</v>
      </c>
      <c r="D173" s="7">
        <f t="shared" ca="1" si="8"/>
        <v>27</v>
      </c>
      <c r="E173" s="17" cm="1">
        <f t="array" aca="1" ref="E173" ca="1">ABS(IF(Tabla1[[#This Row],[Bodega]]&gt;0,Tabla1[[#This Row],[Bodega]]*Tabla2[Costo unitario Inventario],Tabla1[[#This Row],[Bodega]]*Tabla2[Costo unitario Deficit]))</f>
        <v>13500</v>
      </c>
      <c r="F173" s="17" cm="1">
        <f t="array" aca="1" ref="F173" ca="1">(Tabla1[[#This Row],[Venta Dia]]*Tabla2[Precio de venta])-(Tabla1[[#This Row],[Venta Dia]]*Tabla2[Costo Produccion])-Tabla1[[#This Row],[Déficit bodega]]</f>
        <v>26500</v>
      </c>
    </row>
    <row r="174" spans="1:6" x14ac:dyDescent="0.2">
      <c r="A174" s="7">
        <v>139</v>
      </c>
      <c r="B174" s="7">
        <f t="shared" ca="1" si="6"/>
        <v>3</v>
      </c>
      <c r="C174" s="7">
        <f t="shared" ca="1" si="7"/>
        <v>5</v>
      </c>
      <c r="D174" s="7">
        <f t="shared" ca="1" si="8"/>
        <v>25</v>
      </c>
      <c r="E174" s="17" cm="1">
        <f t="array" aca="1" ref="E174" ca="1">ABS(IF(Tabla1[[#This Row],[Bodega]]&gt;0,Tabla1[[#This Row],[Bodega]]*Tabla2[Costo unitario Inventario],Tabla1[[#This Row],[Bodega]]*Tabla2[Costo unitario Deficit]))</f>
        <v>12500</v>
      </c>
      <c r="F174" s="17" cm="1">
        <f t="array" aca="1" ref="F174" ca="1">(Tabla1[[#This Row],[Venta Dia]]*Tabla2[Precio de venta])-(Tabla1[[#This Row],[Venta Dia]]*Tabla2[Costo Produccion])-Tabla1[[#This Row],[Déficit bodega]]</f>
        <v>37500</v>
      </c>
    </row>
    <row r="175" spans="1:6" x14ac:dyDescent="0.2">
      <c r="A175" s="7">
        <v>140</v>
      </c>
      <c r="B175" s="7">
        <f t="shared" ca="1" si="6"/>
        <v>4</v>
      </c>
      <c r="C175" s="7">
        <f t="shared" ca="1" si="7"/>
        <v>5</v>
      </c>
      <c r="D175" s="7">
        <f t="shared" ca="1" si="8"/>
        <v>24</v>
      </c>
      <c r="E175" s="17" cm="1">
        <f t="array" aca="1" ref="E175" ca="1">ABS(IF(Tabla1[[#This Row],[Bodega]]&gt;0,Tabla1[[#This Row],[Bodega]]*Tabla2[Costo unitario Inventario],Tabla1[[#This Row],[Bodega]]*Tabla2[Costo unitario Deficit]))</f>
        <v>12000</v>
      </c>
      <c r="F175" s="17" cm="1">
        <f t="array" aca="1" ref="F175" ca="1">(Tabla1[[#This Row],[Venta Dia]]*Tabla2[Precio de venta])-(Tabla1[[#This Row],[Venta Dia]]*Tabla2[Costo Produccion])-Tabla1[[#This Row],[Déficit bodega]]</f>
        <v>38000</v>
      </c>
    </row>
    <row r="176" spans="1:6" x14ac:dyDescent="0.2">
      <c r="A176" s="7">
        <v>141</v>
      </c>
      <c r="B176" s="7">
        <f t="shared" ca="1" si="6"/>
        <v>7</v>
      </c>
      <c r="C176" s="7">
        <f t="shared" ca="1" si="7"/>
        <v>4</v>
      </c>
      <c r="D176" s="7">
        <f t="shared" ca="1" si="8"/>
        <v>27</v>
      </c>
      <c r="E176" s="17" cm="1">
        <f t="array" aca="1" ref="E176" ca="1">ABS(IF(Tabla1[[#This Row],[Bodega]]&gt;0,Tabla1[[#This Row],[Bodega]]*Tabla2[Costo unitario Inventario],Tabla1[[#This Row],[Bodega]]*Tabla2[Costo unitario Deficit]))</f>
        <v>13500</v>
      </c>
      <c r="F176" s="17" cm="1">
        <f t="array" aca="1" ref="F176" ca="1">(Tabla1[[#This Row],[Venta Dia]]*Tabla2[Precio de venta])-(Tabla1[[#This Row],[Venta Dia]]*Tabla2[Costo Produccion])-Tabla1[[#This Row],[Déficit bodega]]</f>
        <v>26500</v>
      </c>
    </row>
    <row r="177" spans="1:6" x14ac:dyDescent="0.2">
      <c r="A177" s="7">
        <v>142</v>
      </c>
      <c r="B177" s="7">
        <f t="shared" ca="1" si="6"/>
        <v>6</v>
      </c>
      <c r="C177" s="7">
        <f t="shared" ca="1" si="7"/>
        <v>5</v>
      </c>
      <c r="D177" s="7">
        <f t="shared" ca="1" si="8"/>
        <v>28</v>
      </c>
      <c r="E177" s="17" cm="1">
        <f t="array" aca="1" ref="E177" ca="1">ABS(IF(Tabla1[[#This Row],[Bodega]]&gt;0,Tabla1[[#This Row],[Bodega]]*Tabla2[Costo unitario Inventario],Tabla1[[#This Row],[Bodega]]*Tabla2[Costo unitario Deficit]))</f>
        <v>14000</v>
      </c>
      <c r="F177" s="17" cm="1">
        <f t="array" aca="1" ref="F177" ca="1">(Tabla1[[#This Row],[Venta Dia]]*Tabla2[Precio de venta])-(Tabla1[[#This Row],[Venta Dia]]*Tabla2[Costo Produccion])-Tabla1[[#This Row],[Déficit bodega]]</f>
        <v>36000</v>
      </c>
    </row>
    <row r="178" spans="1:6" x14ac:dyDescent="0.2">
      <c r="A178" s="7">
        <v>143</v>
      </c>
      <c r="B178" s="7">
        <f t="shared" ca="1" si="6"/>
        <v>4</v>
      </c>
      <c r="C178" s="7">
        <f t="shared" ca="1" si="7"/>
        <v>5</v>
      </c>
      <c r="D178" s="7">
        <f t="shared" ca="1" si="8"/>
        <v>27</v>
      </c>
      <c r="E178" s="17" cm="1">
        <f t="array" aca="1" ref="E178" ca="1">ABS(IF(Tabla1[[#This Row],[Bodega]]&gt;0,Tabla1[[#This Row],[Bodega]]*Tabla2[Costo unitario Inventario],Tabla1[[#This Row],[Bodega]]*Tabla2[Costo unitario Deficit]))</f>
        <v>13500</v>
      </c>
      <c r="F178" s="17" cm="1">
        <f t="array" aca="1" ref="F178" ca="1">(Tabla1[[#This Row],[Venta Dia]]*Tabla2[Precio de venta])-(Tabla1[[#This Row],[Venta Dia]]*Tabla2[Costo Produccion])-Tabla1[[#This Row],[Déficit bodega]]</f>
        <v>36500</v>
      </c>
    </row>
    <row r="179" spans="1:6" x14ac:dyDescent="0.2">
      <c r="A179" s="7">
        <v>144</v>
      </c>
      <c r="B179" s="7">
        <f t="shared" ca="1" si="6"/>
        <v>3</v>
      </c>
      <c r="C179" s="7">
        <f t="shared" ca="1" si="7"/>
        <v>4</v>
      </c>
      <c r="D179" s="7">
        <f t="shared" ca="1" si="8"/>
        <v>26</v>
      </c>
      <c r="E179" s="17" cm="1">
        <f t="array" aca="1" ref="E179" ca="1">ABS(IF(Tabla1[[#This Row],[Bodega]]&gt;0,Tabla1[[#This Row],[Bodega]]*Tabla2[Costo unitario Inventario],Tabla1[[#This Row],[Bodega]]*Tabla2[Costo unitario Deficit]))</f>
        <v>13000</v>
      </c>
      <c r="F179" s="17" cm="1">
        <f t="array" aca="1" ref="F179" ca="1">(Tabla1[[#This Row],[Venta Dia]]*Tabla2[Precio de venta])-(Tabla1[[#This Row],[Venta Dia]]*Tabla2[Costo Produccion])-Tabla1[[#This Row],[Déficit bodega]]</f>
        <v>27000</v>
      </c>
    </row>
    <row r="180" spans="1:6" x14ac:dyDescent="0.2">
      <c r="A180" s="7">
        <v>145</v>
      </c>
      <c r="B180" s="7">
        <f t="shared" ca="1" si="6"/>
        <v>4</v>
      </c>
      <c r="C180" s="7">
        <f t="shared" ca="1" si="7"/>
        <v>6</v>
      </c>
      <c r="D180" s="7">
        <f t="shared" ca="1" si="8"/>
        <v>24</v>
      </c>
      <c r="E180" s="17" cm="1">
        <f t="array" aca="1" ref="E180" ca="1">ABS(IF(Tabla1[[#This Row],[Bodega]]&gt;0,Tabla1[[#This Row],[Bodega]]*Tabla2[Costo unitario Inventario],Tabla1[[#This Row],[Bodega]]*Tabla2[Costo unitario Deficit]))</f>
        <v>12000</v>
      </c>
      <c r="F180" s="17" cm="1">
        <f t="array" aca="1" ref="F180" ca="1">(Tabla1[[#This Row],[Venta Dia]]*Tabla2[Precio de venta])-(Tabla1[[#This Row],[Venta Dia]]*Tabla2[Costo Produccion])-Tabla1[[#This Row],[Déficit bodega]]</f>
        <v>48000</v>
      </c>
    </row>
    <row r="181" spans="1:6" x14ac:dyDescent="0.2">
      <c r="A181" s="7">
        <v>146</v>
      </c>
      <c r="B181" s="7">
        <f t="shared" ca="1" si="6"/>
        <v>6</v>
      </c>
      <c r="C181" s="7">
        <f t="shared" ca="1" si="7"/>
        <v>4</v>
      </c>
      <c r="D181" s="7">
        <f t="shared" ca="1" si="8"/>
        <v>26</v>
      </c>
      <c r="E181" s="17" cm="1">
        <f t="array" aca="1" ref="E181" ca="1">ABS(IF(Tabla1[[#This Row],[Bodega]]&gt;0,Tabla1[[#This Row],[Bodega]]*Tabla2[Costo unitario Inventario],Tabla1[[#This Row],[Bodega]]*Tabla2[Costo unitario Deficit]))</f>
        <v>13000</v>
      </c>
      <c r="F181" s="17" cm="1">
        <f t="array" aca="1" ref="F181" ca="1">(Tabla1[[#This Row],[Venta Dia]]*Tabla2[Precio de venta])-(Tabla1[[#This Row],[Venta Dia]]*Tabla2[Costo Produccion])-Tabla1[[#This Row],[Déficit bodega]]</f>
        <v>27000</v>
      </c>
    </row>
    <row r="182" spans="1:6" x14ac:dyDescent="0.2">
      <c r="A182" s="7">
        <v>147</v>
      </c>
      <c r="B182" s="7">
        <f t="shared" ca="1" si="6"/>
        <v>4</v>
      </c>
      <c r="C182" s="7">
        <f t="shared" ca="1" si="7"/>
        <v>5</v>
      </c>
      <c r="D182" s="7">
        <f t="shared" ca="1" si="8"/>
        <v>25</v>
      </c>
      <c r="E182" s="17" cm="1">
        <f t="array" aca="1" ref="E182" ca="1">ABS(IF(Tabla1[[#This Row],[Bodega]]&gt;0,Tabla1[[#This Row],[Bodega]]*Tabla2[Costo unitario Inventario],Tabla1[[#This Row],[Bodega]]*Tabla2[Costo unitario Deficit]))</f>
        <v>12500</v>
      </c>
      <c r="F182" s="17" cm="1">
        <f t="array" aca="1" ref="F182" ca="1">(Tabla1[[#This Row],[Venta Dia]]*Tabla2[Precio de venta])-(Tabla1[[#This Row],[Venta Dia]]*Tabla2[Costo Produccion])-Tabla1[[#This Row],[Déficit bodega]]</f>
        <v>37500</v>
      </c>
    </row>
    <row r="183" spans="1:6" x14ac:dyDescent="0.2">
      <c r="A183" s="7">
        <v>148</v>
      </c>
      <c r="B183" s="7">
        <f t="shared" ca="1" si="6"/>
        <v>4</v>
      </c>
      <c r="C183" s="7">
        <f t="shared" ca="1" si="7"/>
        <v>4</v>
      </c>
      <c r="D183" s="7">
        <f t="shared" ca="1" si="8"/>
        <v>25</v>
      </c>
      <c r="E183" s="17" cm="1">
        <f t="array" aca="1" ref="E183" ca="1">ABS(IF(Tabla1[[#This Row],[Bodega]]&gt;0,Tabla1[[#This Row],[Bodega]]*Tabla2[Costo unitario Inventario],Tabla1[[#This Row],[Bodega]]*Tabla2[Costo unitario Deficit]))</f>
        <v>12500</v>
      </c>
      <c r="F183" s="17" cm="1">
        <f t="array" aca="1" ref="F183" ca="1">(Tabla1[[#This Row],[Venta Dia]]*Tabla2[Precio de venta])-(Tabla1[[#This Row],[Venta Dia]]*Tabla2[Costo Produccion])-Tabla1[[#This Row],[Déficit bodega]]</f>
        <v>27500</v>
      </c>
    </row>
    <row r="184" spans="1:6" x14ac:dyDescent="0.2">
      <c r="A184" s="7">
        <v>149</v>
      </c>
      <c r="B184" s="7">
        <f t="shared" ca="1" si="6"/>
        <v>3</v>
      </c>
      <c r="C184" s="7">
        <f t="shared" ca="1" si="7"/>
        <v>5</v>
      </c>
      <c r="D184" s="7">
        <f t="shared" ca="1" si="8"/>
        <v>23</v>
      </c>
      <c r="E184" s="17" cm="1">
        <f t="array" aca="1" ref="E184" ca="1">ABS(IF(Tabla1[[#This Row],[Bodega]]&gt;0,Tabla1[[#This Row],[Bodega]]*Tabla2[Costo unitario Inventario],Tabla1[[#This Row],[Bodega]]*Tabla2[Costo unitario Deficit]))</f>
        <v>11500</v>
      </c>
      <c r="F184" s="17" cm="1">
        <f t="array" aca="1" ref="F184" ca="1">(Tabla1[[#This Row],[Venta Dia]]*Tabla2[Precio de venta])-(Tabla1[[#This Row],[Venta Dia]]*Tabla2[Costo Produccion])-Tabla1[[#This Row],[Déficit bodega]]</f>
        <v>38500</v>
      </c>
    </row>
    <row r="185" spans="1:6" x14ac:dyDescent="0.2">
      <c r="A185" s="7">
        <v>150</v>
      </c>
      <c r="B185" s="7">
        <f t="shared" ca="1" si="6"/>
        <v>6</v>
      </c>
      <c r="C185" s="7">
        <f t="shared" ca="1" si="7"/>
        <v>5</v>
      </c>
      <c r="D185" s="7">
        <f t="shared" ca="1" si="8"/>
        <v>24</v>
      </c>
      <c r="E185" s="17" cm="1">
        <f t="array" aca="1" ref="E185" ca="1">ABS(IF(Tabla1[[#This Row],[Bodega]]&gt;0,Tabla1[[#This Row],[Bodega]]*Tabla2[Costo unitario Inventario],Tabla1[[#This Row],[Bodega]]*Tabla2[Costo unitario Deficit]))</f>
        <v>12000</v>
      </c>
      <c r="F185" s="17" cm="1">
        <f t="array" aca="1" ref="F185" ca="1">(Tabla1[[#This Row],[Venta Dia]]*Tabla2[Precio de venta])-(Tabla1[[#This Row],[Venta Dia]]*Tabla2[Costo Produccion])-Tabla1[[#This Row],[Déficit bodega]]</f>
        <v>38000</v>
      </c>
    </row>
    <row r="186" spans="1:6" x14ac:dyDescent="0.2">
      <c r="A186" s="7">
        <v>151</v>
      </c>
      <c r="B186" s="7">
        <f t="shared" ca="1" si="6"/>
        <v>6</v>
      </c>
      <c r="C186" s="7">
        <f t="shared" ca="1" si="7"/>
        <v>5</v>
      </c>
      <c r="D186" s="7">
        <f t="shared" ca="1" si="8"/>
        <v>25</v>
      </c>
      <c r="E186" s="17" cm="1">
        <f t="array" aca="1" ref="E186" ca="1">ABS(IF(Tabla1[[#This Row],[Bodega]]&gt;0,Tabla1[[#This Row],[Bodega]]*Tabla2[Costo unitario Inventario],Tabla1[[#This Row],[Bodega]]*Tabla2[Costo unitario Deficit]))</f>
        <v>12500</v>
      </c>
      <c r="F186" s="17" cm="1">
        <f t="array" aca="1" ref="F186" ca="1">(Tabla1[[#This Row],[Venta Dia]]*Tabla2[Precio de venta])-(Tabla1[[#This Row],[Venta Dia]]*Tabla2[Costo Produccion])-Tabla1[[#This Row],[Déficit bodega]]</f>
        <v>37500</v>
      </c>
    </row>
    <row r="187" spans="1:6" x14ac:dyDescent="0.2">
      <c r="A187" s="7">
        <v>152</v>
      </c>
      <c r="B187" s="7">
        <f t="shared" ca="1" si="6"/>
        <v>6</v>
      </c>
      <c r="C187" s="7">
        <f t="shared" ca="1" si="7"/>
        <v>4</v>
      </c>
      <c r="D187" s="7">
        <f t="shared" ca="1" si="8"/>
        <v>27</v>
      </c>
      <c r="E187" s="17" cm="1">
        <f t="array" aca="1" ref="E187" ca="1">ABS(IF(Tabla1[[#This Row],[Bodega]]&gt;0,Tabla1[[#This Row],[Bodega]]*Tabla2[Costo unitario Inventario],Tabla1[[#This Row],[Bodega]]*Tabla2[Costo unitario Deficit]))</f>
        <v>13500</v>
      </c>
      <c r="F187" s="17" cm="1">
        <f t="array" aca="1" ref="F187" ca="1">(Tabla1[[#This Row],[Venta Dia]]*Tabla2[Precio de venta])-(Tabla1[[#This Row],[Venta Dia]]*Tabla2[Costo Produccion])-Tabla1[[#This Row],[Déficit bodega]]</f>
        <v>26500</v>
      </c>
    </row>
    <row r="188" spans="1:6" x14ac:dyDescent="0.2">
      <c r="A188" s="7">
        <v>153</v>
      </c>
      <c r="B188" s="7">
        <f t="shared" ca="1" si="6"/>
        <v>3</v>
      </c>
      <c r="C188" s="7">
        <f t="shared" ca="1" si="7"/>
        <v>5</v>
      </c>
      <c r="D188" s="7">
        <f t="shared" ca="1" si="8"/>
        <v>25</v>
      </c>
      <c r="E188" s="17" cm="1">
        <f t="array" aca="1" ref="E188" ca="1">ABS(IF(Tabla1[[#This Row],[Bodega]]&gt;0,Tabla1[[#This Row],[Bodega]]*Tabla2[Costo unitario Inventario],Tabla1[[#This Row],[Bodega]]*Tabla2[Costo unitario Deficit]))</f>
        <v>12500</v>
      </c>
      <c r="F188" s="17" cm="1">
        <f t="array" aca="1" ref="F188" ca="1">(Tabla1[[#This Row],[Venta Dia]]*Tabla2[Precio de venta])-(Tabla1[[#This Row],[Venta Dia]]*Tabla2[Costo Produccion])-Tabla1[[#This Row],[Déficit bodega]]</f>
        <v>37500</v>
      </c>
    </row>
    <row r="189" spans="1:6" x14ac:dyDescent="0.2">
      <c r="A189" s="7">
        <v>154</v>
      </c>
      <c r="B189" s="7">
        <f t="shared" ca="1" si="6"/>
        <v>3</v>
      </c>
      <c r="C189" s="7">
        <f t="shared" ca="1" si="7"/>
        <v>5</v>
      </c>
      <c r="D189" s="7">
        <f t="shared" ca="1" si="8"/>
        <v>23</v>
      </c>
      <c r="E189" s="17" cm="1">
        <f t="array" aca="1" ref="E189" ca="1">ABS(IF(Tabla1[[#This Row],[Bodega]]&gt;0,Tabla1[[#This Row],[Bodega]]*Tabla2[Costo unitario Inventario],Tabla1[[#This Row],[Bodega]]*Tabla2[Costo unitario Deficit]))</f>
        <v>11500</v>
      </c>
      <c r="F189" s="17" cm="1">
        <f t="array" aca="1" ref="F189" ca="1">(Tabla1[[#This Row],[Venta Dia]]*Tabla2[Precio de venta])-(Tabla1[[#This Row],[Venta Dia]]*Tabla2[Costo Produccion])-Tabla1[[#This Row],[Déficit bodega]]</f>
        <v>38500</v>
      </c>
    </row>
    <row r="190" spans="1:6" x14ac:dyDescent="0.2">
      <c r="A190" s="7">
        <v>155</v>
      </c>
      <c r="B190" s="7">
        <f t="shared" ca="1" si="6"/>
        <v>3</v>
      </c>
      <c r="C190" s="7">
        <f t="shared" ca="1" si="7"/>
        <v>5</v>
      </c>
      <c r="D190" s="7">
        <f t="shared" ca="1" si="8"/>
        <v>21</v>
      </c>
      <c r="E190" s="17" cm="1">
        <f t="array" aca="1" ref="E190" ca="1">ABS(IF(Tabla1[[#This Row],[Bodega]]&gt;0,Tabla1[[#This Row],[Bodega]]*Tabla2[Costo unitario Inventario],Tabla1[[#This Row],[Bodega]]*Tabla2[Costo unitario Deficit]))</f>
        <v>10500</v>
      </c>
      <c r="F190" s="17" cm="1">
        <f t="array" aca="1" ref="F190" ca="1">(Tabla1[[#This Row],[Venta Dia]]*Tabla2[Precio de venta])-(Tabla1[[#This Row],[Venta Dia]]*Tabla2[Costo Produccion])-Tabla1[[#This Row],[Déficit bodega]]</f>
        <v>39500</v>
      </c>
    </row>
    <row r="191" spans="1:6" x14ac:dyDescent="0.2">
      <c r="A191" s="7">
        <v>156</v>
      </c>
      <c r="B191" s="7">
        <f t="shared" ca="1" si="6"/>
        <v>3</v>
      </c>
      <c r="C191" s="7">
        <f t="shared" ca="1" si="7"/>
        <v>4</v>
      </c>
      <c r="D191" s="7">
        <f t="shared" ca="1" si="8"/>
        <v>20</v>
      </c>
      <c r="E191" s="17" cm="1">
        <f t="array" aca="1" ref="E191" ca="1">ABS(IF(Tabla1[[#This Row],[Bodega]]&gt;0,Tabla1[[#This Row],[Bodega]]*Tabla2[Costo unitario Inventario],Tabla1[[#This Row],[Bodega]]*Tabla2[Costo unitario Deficit]))</f>
        <v>10000</v>
      </c>
      <c r="F191" s="17" cm="1">
        <f t="array" aca="1" ref="F191" ca="1">(Tabla1[[#This Row],[Venta Dia]]*Tabla2[Precio de venta])-(Tabla1[[#This Row],[Venta Dia]]*Tabla2[Costo Produccion])-Tabla1[[#This Row],[Déficit bodega]]</f>
        <v>30000</v>
      </c>
    </row>
    <row r="192" spans="1:6" x14ac:dyDescent="0.2">
      <c r="A192" s="7">
        <v>157</v>
      </c>
      <c r="B192" s="7">
        <f t="shared" ca="1" si="6"/>
        <v>7</v>
      </c>
      <c r="C192" s="7">
        <f t="shared" ca="1" si="7"/>
        <v>4</v>
      </c>
      <c r="D192" s="7">
        <f t="shared" ca="1" si="8"/>
        <v>23</v>
      </c>
      <c r="E192" s="17" cm="1">
        <f t="array" aca="1" ref="E192" ca="1">ABS(IF(Tabla1[[#This Row],[Bodega]]&gt;0,Tabla1[[#This Row],[Bodega]]*Tabla2[Costo unitario Inventario],Tabla1[[#This Row],[Bodega]]*Tabla2[Costo unitario Deficit]))</f>
        <v>11500</v>
      </c>
      <c r="F192" s="17" cm="1">
        <f t="array" aca="1" ref="F192" ca="1">(Tabla1[[#This Row],[Venta Dia]]*Tabla2[Precio de venta])-(Tabla1[[#This Row],[Venta Dia]]*Tabla2[Costo Produccion])-Tabla1[[#This Row],[Déficit bodega]]</f>
        <v>28500</v>
      </c>
    </row>
    <row r="193" spans="1:6" x14ac:dyDescent="0.2">
      <c r="A193" s="7">
        <v>158</v>
      </c>
      <c r="B193" s="7">
        <f t="shared" ca="1" si="6"/>
        <v>6</v>
      </c>
      <c r="C193" s="7">
        <f t="shared" ca="1" si="7"/>
        <v>5</v>
      </c>
      <c r="D193" s="7">
        <f t="shared" ca="1" si="8"/>
        <v>24</v>
      </c>
      <c r="E193" s="17" cm="1">
        <f t="array" aca="1" ref="E193" ca="1">ABS(IF(Tabla1[[#This Row],[Bodega]]&gt;0,Tabla1[[#This Row],[Bodega]]*Tabla2[Costo unitario Inventario],Tabla1[[#This Row],[Bodega]]*Tabla2[Costo unitario Deficit]))</f>
        <v>12000</v>
      </c>
      <c r="F193" s="17" cm="1">
        <f t="array" aca="1" ref="F193" ca="1">(Tabla1[[#This Row],[Venta Dia]]*Tabla2[Precio de venta])-(Tabla1[[#This Row],[Venta Dia]]*Tabla2[Costo Produccion])-Tabla1[[#This Row],[Déficit bodega]]</f>
        <v>38000</v>
      </c>
    </row>
    <row r="194" spans="1:6" x14ac:dyDescent="0.2">
      <c r="A194" s="7">
        <v>159</v>
      </c>
      <c r="B194" s="7">
        <f t="shared" ca="1" si="6"/>
        <v>7</v>
      </c>
      <c r="C194" s="7">
        <f t="shared" ca="1" si="7"/>
        <v>5</v>
      </c>
      <c r="D194" s="7">
        <f t="shared" ca="1" si="8"/>
        <v>26</v>
      </c>
      <c r="E194" s="17" cm="1">
        <f t="array" aca="1" ref="E194" ca="1">ABS(IF(Tabla1[[#This Row],[Bodega]]&gt;0,Tabla1[[#This Row],[Bodega]]*Tabla2[Costo unitario Inventario],Tabla1[[#This Row],[Bodega]]*Tabla2[Costo unitario Deficit]))</f>
        <v>13000</v>
      </c>
      <c r="F194" s="17" cm="1">
        <f t="array" aca="1" ref="F194" ca="1">(Tabla1[[#This Row],[Venta Dia]]*Tabla2[Precio de venta])-(Tabla1[[#This Row],[Venta Dia]]*Tabla2[Costo Produccion])-Tabla1[[#This Row],[Déficit bodega]]</f>
        <v>37000</v>
      </c>
    </row>
    <row r="195" spans="1:6" x14ac:dyDescent="0.2">
      <c r="A195" s="7">
        <v>160</v>
      </c>
      <c r="B195" s="7">
        <f t="shared" ca="1" si="6"/>
        <v>6</v>
      </c>
      <c r="C195" s="7">
        <f t="shared" ca="1" si="7"/>
        <v>5</v>
      </c>
      <c r="D195" s="7">
        <f t="shared" ca="1" si="8"/>
        <v>27</v>
      </c>
      <c r="E195" s="17" cm="1">
        <f t="array" aca="1" ref="E195" ca="1">ABS(IF(Tabla1[[#This Row],[Bodega]]&gt;0,Tabla1[[#This Row],[Bodega]]*Tabla2[Costo unitario Inventario],Tabla1[[#This Row],[Bodega]]*Tabla2[Costo unitario Deficit]))</f>
        <v>13500</v>
      </c>
      <c r="F195" s="17" cm="1">
        <f t="array" aca="1" ref="F195" ca="1">(Tabla1[[#This Row],[Venta Dia]]*Tabla2[Precio de venta])-(Tabla1[[#This Row],[Venta Dia]]*Tabla2[Costo Produccion])-Tabla1[[#This Row],[Déficit bodega]]</f>
        <v>36500</v>
      </c>
    </row>
    <row r="196" spans="1:6" x14ac:dyDescent="0.2">
      <c r="A196" s="7">
        <v>161</v>
      </c>
      <c r="B196" s="7">
        <f t="shared" ca="1" si="6"/>
        <v>6</v>
      </c>
      <c r="C196" s="7">
        <f t="shared" ca="1" si="7"/>
        <v>4</v>
      </c>
      <c r="D196" s="7">
        <f t="shared" ca="1" si="8"/>
        <v>29</v>
      </c>
      <c r="E196" s="17" cm="1">
        <f t="array" aca="1" ref="E196" ca="1">ABS(IF(Tabla1[[#This Row],[Bodega]]&gt;0,Tabla1[[#This Row],[Bodega]]*Tabla2[Costo unitario Inventario],Tabla1[[#This Row],[Bodega]]*Tabla2[Costo unitario Deficit]))</f>
        <v>14500</v>
      </c>
      <c r="F196" s="17" cm="1">
        <f t="array" aca="1" ref="F196" ca="1">(Tabla1[[#This Row],[Venta Dia]]*Tabla2[Precio de venta])-(Tabla1[[#This Row],[Venta Dia]]*Tabla2[Costo Produccion])-Tabla1[[#This Row],[Déficit bodega]]</f>
        <v>25500</v>
      </c>
    </row>
    <row r="197" spans="1:6" x14ac:dyDescent="0.2">
      <c r="A197" s="7">
        <v>162</v>
      </c>
      <c r="B197" s="7">
        <f t="shared" ca="1" si="6"/>
        <v>4</v>
      </c>
      <c r="C197" s="7">
        <f t="shared" ca="1" si="7"/>
        <v>6</v>
      </c>
      <c r="D197" s="7">
        <f t="shared" ca="1" si="8"/>
        <v>27</v>
      </c>
      <c r="E197" s="17" cm="1">
        <f t="array" aca="1" ref="E197" ca="1">ABS(IF(Tabla1[[#This Row],[Bodega]]&gt;0,Tabla1[[#This Row],[Bodega]]*Tabla2[Costo unitario Inventario],Tabla1[[#This Row],[Bodega]]*Tabla2[Costo unitario Deficit]))</f>
        <v>13500</v>
      </c>
      <c r="F197" s="17" cm="1">
        <f t="array" aca="1" ref="F197" ca="1">(Tabla1[[#This Row],[Venta Dia]]*Tabla2[Precio de venta])-(Tabla1[[#This Row],[Venta Dia]]*Tabla2[Costo Produccion])-Tabla1[[#This Row],[Déficit bodega]]</f>
        <v>46500</v>
      </c>
    </row>
    <row r="198" spans="1:6" x14ac:dyDescent="0.2">
      <c r="A198" s="7">
        <v>163</v>
      </c>
      <c r="B198" s="7">
        <f t="shared" ca="1" si="6"/>
        <v>5</v>
      </c>
      <c r="C198" s="7">
        <f t="shared" ca="1" si="7"/>
        <v>4</v>
      </c>
      <c r="D198" s="7">
        <f t="shared" ca="1" si="8"/>
        <v>28</v>
      </c>
      <c r="E198" s="17" cm="1">
        <f t="array" aca="1" ref="E198" ca="1">ABS(IF(Tabla1[[#This Row],[Bodega]]&gt;0,Tabla1[[#This Row],[Bodega]]*Tabla2[Costo unitario Inventario],Tabla1[[#This Row],[Bodega]]*Tabla2[Costo unitario Deficit]))</f>
        <v>14000</v>
      </c>
      <c r="F198" s="17" cm="1">
        <f t="array" aca="1" ref="F198" ca="1">(Tabla1[[#This Row],[Venta Dia]]*Tabla2[Precio de venta])-(Tabla1[[#This Row],[Venta Dia]]*Tabla2[Costo Produccion])-Tabla1[[#This Row],[Déficit bodega]]</f>
        <v>26000</v>
      </c>
    </row>
    <row r="199" spans="1:6" x14ac:dyDescent="0.2">
      <c r="A199" s="7">
        <v>164</v>
      </c>
      <c r="B199" s="7">
        <f t="shared" ca="1" si="6"/>
        <v>6</v>
      </c>
      <c r="C199" s="7">
        <f t="shared" ca="1" si="7"/>
        <v>5</v>
      </c>
      <c r="D199" s="7">
        <f t="shared" ca="1" si="8"/>
        <v>29</v>
      </c>
      <c r="E199" s="17" cm="1">
        <f t="array" aca="1" ref="E199" ca="1">ABS(IF(Tabla1[[#This Row],[Bodega]]&gt;0,Tabla1[[#This Row],[Bodega]]*Tabla2[Costo unitario Inventario],Tabla1[[#This Row],[Bodega]]*Tabla2[Costo unitario Deficit]))</f>
        <v>14500</v>
      </c>
      <c r="F199" s="17" cm="1">
        <f t="array" aca="1" ref="F199" ca="1">(Tabla1[[#This Row],[Venta Dia]]*Tabla2[Precio de venta])-(Tabla1[[#This Row],[Venta Dia]]*Tabla2[Costo Produccion])-Tabla1[[#This Row],[Déficit bodega]]</f>
        <v>35500</v>
      </c>
    </row>
    <row r="200" spans="1:6" x14ac:dyDescent="0.2">
      <c r="A200" s="7">
        <v>165</v>
      </c>
      <c r="B200" s="7">
        <f t="shared" ca="1" si="6"/>
        <v>3</v>
      </c>
      <c r="C200" s="7">
        <f t="shared" ca="1" si="7"/>
        <v>4</v>
      </c>
      <c r="D200" s="7">
        <f t="shared" ca="1" si="8"/>
        <v>28</v>
      </c>
      <c r="E200" s="17" cm="1">
        <f t="array" aca="1" ref="E200" ca="1">ABS(IF(Tabla1[[#This Row],[Bodega]]&gt;0,Tabla1[[#This Row],[Bodega]]*Tabla2[Costo unitario Inventario],Tabla1[[#This Row],[Bodega]]*Tabla2[Costo unitario Deficit]))</f>
        <v>14000</v>
      </c>
      <c r="F200" s="17" cm="1">
        <f t="array" aca="1" ref="F200" ca="1">(Tabla1[[#This Row],[Venta Dia]]*Tabla2[Precio de venta])-(Tabla1[[#This Row],[Venta Dia]]*Tabla2[Costo Produccion])-Tabla1[[#This Row],[Déficit bodega]]</f>
        <v>26000</v>
      </c>
    </row>
    <row r="201" spans="1:6" x14ac:dyDescent="0.2">
      <c r="A201" s="7">
        <v>166</v>
      </c>
      <c r="B201" s="7">
        <f t="shared" ca="1" si="6"/>
        <v>4</v>
      </c>
      <c r="C201" s="7">
        <f t="shared" ca="1" si="7"/>
        <v>6</v>
      </c>
      <c r="D201" s="7">
        <f t="shared" ca="1" si="8"/>
        <v>26</v>
      </c>
      <c r="E201" s="17" cm="1">
        <f t="array" aca="1" ref="E201" ca="1">ABS(IF(Tabla1[[#This Row],[Bodega]]&gt;0,Tabla1[[#This Row],[Bodega]]*Tabla2[Costo unitario Inventario],Tabla1[[#This Row],[Bodega]]*Tabla2[Costo unitario Deficit]))</f>
        <v>13000</v>
      </c>
      <c r="F201" s="17" cm="1">
        <f t="array" aca="1" ref="F201" ca="1">(Tabla1[[#This Row],[Venta Dia]]*Tabla2[Precio de venta])-(Tabla1[[#This Row],[Venta Dia]]*Tabla2[Costo Produccion])-Tabla1[[#This Row],[Déficit bodega]]</f>
        <v>47000</v>
      </c>
    </row>
    <row r="202" spans="1:6" x14ac:dyDescent="0.2">
      <c r="A202" s="7">
        <v>167</v>
      </c>
      <c r="B202" s="7">
        <f t="shared" ca="1" si="6"/>
        <v>5</v>
      </c>
      <c r="C202" s="7">
        <f t="shared" ca="1" si="7"/>
        <v>4</v>
      </c>
      <c r="D202" s="7">
        <f t="shared" ca="1" si="8"/>
        <v>27</v>
      </c>
      <c r="E202" s="17" cm="1">
        <f t="array" aca="1" ref="E202" ca="1">ABS(IF(Tabla1[[#This Row],[Bodega]]&gt;0,Tabla1[[#This Row],[Bodega]]*Tabla2[Costo unitario Inventario],Tabla1[[#This Row],[Bodega]]*Tabla2[Costo unitario Deficit]))</f>
        <v>13500</v>
      </c>
      <c r="F202" s="17" cm="1">
        <f t="array" aca="1" ref="F202" ca="1">(Tabla1[[#This Row],[Venta Dia]]*Tabla2[Precio de venta])-(Tabla1[[#This Row],[Venta Dia]]*Tabla2[Costo Produccion])-Tabla1[[#This Row],[Déficit bodega]]</f>
        <v>26500</v>
      </c>
    </row>
    <row r="203" spans="1:6" x14ac:dyDescent="0.2">
      <c r="A203" s="7">
        <v>168</v>
      </c>
      <c r="B203" s="7">
        <f t="shared" ca="1" si="6"/>
        <v>3</v>
      </c>
      <c r="C203" s="7">
        <f t="shared" ca="1" si="7"/>
        <v>5</v>
      </c>
      <c r="D203" s="7">
        <f t="shared" ca="1" si="8"/>
        <v>25</v>
      </c>
      <c r="E203" s="17" cm="1">
        <f t="array" aca="1" ref="E203" ca="1">ABS(IF(Tabla1[[#This Row],[Bodega]]&gt;0,Tabla1[[#This Row],[Bodega]]*Tabla2[Costo unitario Inventario],Tabla1[[#This Row],[Bodega]]*Tabla2[Costo unitario Deficit]))</f>
        <v>12500</v>
      </c>
      <c r="F203" s="17" cm="1">
        <f t="array" aca="1" ref="F203" ca="1">(Tabla1[[#This Row],[Venta Dia]]*Tabla2[Precio de venta])-(Tabla1[[#This Row],[Venta Dia]]*Tabla2[Costo Produccion])-Tabla1[[#This Row],[Déficit bodega]]</f>
        <v>37500</v>
      </c>
    </row>
    <row r="204" spans="1:6" x14ac:dyDescent="0.2">
      <c r="A204" s="7">
        <v>169</v>
      </c>
      <c r="B204" s="7">
        <f t="shared" ca="1" si="6"/>
        <v>3</v>
      </c>
      <c r="C204" s="7">
        <f t="shared" ca="1" si="7"/>
        <v>5</v>
      </c>
      <c r="D204" s="7">
        <f t="shared" ca="1" si="8"/>
        <v>23</v>
      </c>
      <c r="E204" s="17" cm="1">
        <f t="array" aca="1" ref="E204" ca="1">ABS(IF(Tabla1[[#This Row],[Bodega]]&gt;0,Tabla1[[#This Row],[Bodega]]*Tabla2[Costo unitario Inventario],Tabla1[[#This Row],[Bodega]]*Tabla2[Costo unitario Deficit]))</f>
        <v>11500</v>
      </c>
      <c r="F204" s="17" cm="1">
        <f t="array" aca="1" ref="F204" ca="1">(Tabla1[[#This Row],[Venta Dia]]*Tabla2[Precio de venta])-(Tabla1[[#This Row],[Venta Dia]]*Tabla2[Costo Produccion])-Tabla1[[#This Row],[Déficit bodega]]</f>
        <v>38500</v>
      </c>
    </row>
    <row r="205" spans="1:6" x14ac:dyDescent="0.2">
      <c r="A205" s="7">
        <v>170</v>
      </c>
      <c r="B205" s="7">
        <f t="shared" ca="1" si="6"/>
        <v>3</v>
      </c>
      <c r="C205" s="7">
        <f t="shared" ca="1" si="7"/>
        <v>5</v>
      </c>
      <c r="D205" s="7">
        <f t="shared" ca="1" si="8"/>
        <v>21</v>
      </c>
      <c r="E205" s="17" cm="1">
        <f t="array" aca="1" ref="E205" ca="1">ABS(IF(Tabla1[[#This Row],[Bodega]]&gt;0,Tabla1[[#This Row],[Bodega]]*Tabla2[Costo unitario Inventario],Tabla1[[#This Row],[Bodega]]*Tabla2[Costo unitario Deficit]))</f>
        <v>10500</v>
      </c>
      <c r="F205" s="17" cm="1">
        <f t="array" aca="1" ref="F205" ca="1">(Tabla1[[#This Row],[Venta Dia]]*Tabla2[Precio de venta])-(Tabla1[[#This Row],[Venta Dia]]*Tabla2[Costo Produccion])-Tabla1[[#This Row],[Déficit bodega]]</f>
        <v>39500</v>
      </c>
    </row>
    <row r="206" spans="1:6" x14ac:dyDescent="0.2">
      <c r="A206" s="7">
        <v>171</v>
      </c>
      <c r="B206" s="7">
        <f t="shared" ca="1" si="6"/>
        <v>3</v>
      </c>
      <c r="C206" s="7">
        <f t="shared" ca="1" si="7"/>
        <v>5</v>
      </c>
      <c r="D206" s="7">
        <f t="shared" ca="1" si="8"/>
        <v>19</v>
      </c>
      <c r="E206" s="17" cm="1">
        <f t="array" aca="1" ref="E206" ca="1">ABS(IF(Tabla1[[#This Row],[Bodega]]&gt;0,Tabla1[[#This Row],[Bodega]]*Tabla2[Costo unitario Inventario],Tabla1[[#This Row],[Bodega]]*Tabla2[Costo unitario Deficit]))</f>
        <v>9500</v>
      </c>
      <c r="F206" s="17" cm="1">
        <f t="array" aca="1" ref="F206" ca="1">(Tabla1[[#This Row],[Venta Dia]]*Tabla2[Precio de venta])-(Tabla1[[#This Row],[Venta Dia]]*Tabla2[Costo Produccion])-Tabla1[[#This Row],[Déficit bodega]]</f>
        <v>40500</v>
      </c>
    </row>
    <row r="207" spans="1:6" x14ac:dyDescent="0.2">
      <c r="A207" s="7">
        <v>172</v>
      </c>
      <c r="B207" s="7">
        <f t="shared" ca="1" si="6"/>
        <v>4</v>
      </c>
      <c r="C207" s="7">
        <f t="shared" ca="1" si="7"/>
        <v>6</v>
      </c>
      <c r="D207" s="7">
        <f t="shared" ca="1" si="8"/>
        <v>17</v>
      </c>
      <c r="E207" s="17" cm="1">
        <f t="array" aca="1" ref="E207" ca="1">ABS(IF(Tabla1[[#This Row],[Bodega]]&gt;0,Tabla1[[#This Row],[Bodega]]*Tabla2[Costo unitario Inventario],Tabla1[[#This Row],[Bodega]]*Tabla2[Costo unitario Deficit]))</f>
        <v>8500</v>
      </c>
      <c r="F207" s="17" cm="1">
        <f t="array" aca="1" ref="F207" ca="1">(Tabla1[[#This Row],[Venta Dia]]*Tabla2[Precio de venta])-(Tabla1[[#This Row],[Venta Dia]]*Tabla2[Costo Produccion])-Tabla1[[#This Row],[Déficit bodega]]</f>
        <v>51500</v>
      </c>
    </row>
    <row r="208" spans="1:6" x14ac:dyDescent="0.2">
      <c r="A208" s="7">
        <v>173</v>
      </c>
      <c r="B208" s="7">
        <f t="shared" ca="1" si="6"/>
        <v>7</v>
      </c>
      <c r="C208" s="7">
        <f t="shared" ca="1" si="7"/>
        <v>5</v>
      </c>
      <c r="D208" s="7">
        <f t="shared" ca="1" si="8"/>
        <v>19</v>
      </c>
      <c r="E208" s="17" cm="1">
        <f t="array" aca="1" ref="E208" ca="1">ABS(IF(Tabla1[[#This Row],[Bodega]]&gt;0,Tabla1[[#This Row],[Bodega]]*Tabla2[Costo unitario Inventario],Tabla1[[#This Row],[Bodega]]*Tabla2[Costo unitario Deficit]))</f>
        <v>9500</v>
      </c>
      <c r="F208" s="17" cm="1">
        <f t="array" aca="1" ref="F208" ca="1">(Tabla1[[#This Row],[Venta Dia]]*Tabla2[Precio de venta])-(Tabla1[[#This Row],[Venta Dia]]*Tabla2[Costo Produccion])-Tabla1[[#This Row],[Déficit bodega]]</f>
        <v>40500</v>
      </c>
    </row>
    <row r="209" spans="1:6" x14ac:dyDescent="0.2">
      <c r="A209" s="7">
        <v>174</v>
      </c>
      <c r="B209" s="7">
        <f t="shared" ca="1" si="6"/>
        <v>6</v>
      </c>
      <c r="C209" s="7">
        <f t="shared" ca="1" si="7"/>
        <v>6</v>
      </c>
      <c r="D209" s="7">
        <f t="shared" ca="1" si="8"/>
        <v>19</v>
      </c>
      <c r="E209" s="17" cm="1">
        <f t="array" aca="1" ref="E209" ca="1">ABS(IF(Tabla1[[#This Row],[Bodega]]&gt;0,Tabla1[[#This Row],[Bodega]]*Tabla2[Costo unitario Inventario],Tabla1[[#This Row],[Bodega]]*Tabla2[Costo unitario Deficit]))</f>
        <v>9500</v>
      </c>
      <c r="F209" s="17" cm="1">
        <f t="array" aca="1" ref="F209" ca="1">(Tabla1[[#This Row],[Venta Dia]]*Tabla2[Precio de venta])-(Tabla1[[#This Row],[Venta Dia]]*Tabla2[Costo Produccion])-Tabla1[[#This Row],[Déficit bodega]]</f>
        <v>50500</v>
      </c>
    </row>
    <row r="210" spans="1:6" x14ac:dyDescent="0.2">
      <c r="A210" s="7">
        <v>175</v>
      </c>
      <c r="B210" s="7">
        <f t="shared" ca="1" si="6"/>
        <v>6</v>
      </c>
      <c r="C210" s="7">
        <f t="shared" ca="1" si="7"/>
        <v>4</v>
      </c>
      <c r="D210" s="7">
        <f t="shared" ca="1" si="8"/>
        <v>21</v>
      </c>
      <c r="E210" s="17" cm="1">
        <f t="array" aca="1" ref="E210" ca="1">ABS(IF(Tabla1[[#This Row],[Bodega]]&gt;0,Tabla1[[#This Row],[Bodega]]*Tabla2[Costo unitario Inventario],Tabla1[[#This Row],[Bodega]]*Tabla2[Costo unitario Deficit]))</f>
        <v>10500</v>
      </c>
      <c r="F210" s="17" cm="1">
        <f t="array" aca="1" ref="F210" ca="1">(Tabla1[[#This Row],[Venta Dia]]*Tabla2[Precio de venta])-(Tabla1[[#This Row],[Venta Dia]]*Tabla2[Costo Produccion])-Tabla1[[#This Row],[Déficit bodega]]</f>
        <v>29500</v>
      </c>
    </row>
    <row r="211" spans="1:6" x14ac:dyDescent="0.2">
      <c r="A211" s="7">
        <v>176</v>
      </c>
      <c r="B211" s="7">
        <f t="shared" ca="1" si="6"/>
        <v>7</v>
      </c>
      <c r="C211" s="7">
        <f t="shared" ca="1" si="7"/>
        <v>6</v>
      </c>
      <c r="D211" s="7">
        <f t="shared" ca="1" si="8"/>
        <v>22</v>
      </c>
      <c r="E211" s="17" cm="1">
        <f t="array" aca="1" ref="E211" ca="1">ABS(IF(Tabla1[[#This Row],[Bodega]]&gt;0,Tabla1[[#This Row],[Bodega]]*Tabla2[Costo unitario Inventario],Tabla1[[#This Row],[Bodega]]*Tabla2[Costo unitario Deficit]))</f>
        <v>11000</v>
      </c>
      <c r="F211" s="17" cm="1">
        <f t="array" aca="1" ref="F211" ca="1">(Tabla1[[#This Row],[Venta Dia]]*Tabla2[Precio de venta])-(Tabla1[[#This Row],[Venta Dia]]*Tabla2[Costo Produccion])-Tabla1[[#This Row],[Déficit bodega]]</f>
        <v>49000</v>
      </c>
    </row>
    <row r="212" spans="1:6" x14ac:dyDescent="0.2">
      <c r="A212" s="7">
        <v>177</v>
      </c>
      <c r="B212" s="7">
        <f t="shared" ca="1" si="6"/>
        <v>7</v>
      </c>
      <c r="C212" s="7">
        <f t="shared" ca="1" si="7"/>
        <v>5</v>
      </c>
      <c r="D212" s="7">
        <f t="shared" ca="1" si="8"/>
        <v>24</v>
      </c>
      <c r="E212" s="17" cm="1">
        <f t="array" aca="1" ref="E212" ca="1">ABS(IF(Tabla1[[#This Row],[Bodega]]&gt;0,Tabla1[[#This Row],[Bodega]]*Tabla2[Costo unitario Inventario],Tabla1[[#This Row],[Bodega]]*Tabla2[Costo unitario Deficit]))</f>
        <v>12000</v>
      </c>
      <c r="F212" s="17" cm="1">
        <f t="array" aca="1" ref="F212" ca="1">(Tabla1[[#This Row],[Venta Dia]]*Tabla2[Precio de venta])-(Tabla1[[#This Row],[Venta Dia]]*Tabla2[Costo Produccion])-Tabla1[[#This Row],[Déficit bodega]]</f>
        <v>38000</v>
      </c>
    </row>
    <row r="213" spans="1:6" x14ac:dyDescent="0.2">
      <c r="A213" s="7">
        <v>178</v>
      </c>
      <c r="B213" s="7">
        <f t="shared" ca="1" si="6"/>
        <v>7</v>
      </c>
      <c r="C213" s="7">
        <f t="shared" ca="1" si="7"/>
        <v>4</v>
      </c>
      <c r="D213" s="7">
        <f t="shared" ca="1" si="8"/>
        <v>27</v>
      </c>
      <c r="E213" s="17" cm="1">
        <f t="array" aca="1" ref="E213" ca="1">ABS(IF(Tabla1[[#This Row],[Bodega]]&gt;0,Tabla1[[#This Row],[Bodega]]*Tabla2[Costo unitario Inventario],Tabla1[[#This Row],[Bodega]]*Tabla2[Costo unitario Deficit]))</f>
        <v>13500</v>
      </c>
      <c r="F213" s="17" cm="1">
        <f t="array" aca="1" ref="F213" ca="1">(Tabla1[[#This Row],[Venta Dia]]*Tabla2[Precio de venta])-(Tabla1[[#This Row],[Venta Dia]]*Tabla2[Costo Produccion])-Tabla1[[#This Row],[Déficit bodega]]</f>
        <v>26500</v>
      </c>
    </row>
    <row r="214" spans="1:6" x14ac:dyDescent="0.2">
      <c r="A214" s="7">
        <v>179</v>
      </c>
      <c r="B214" s="7">
        <f t="shared" ca="1" si="6"/>
        <v>4</v>
      </c>
      <c r="C214" s="7">
        <f t="shared" ca="1" si="7"/>
        <v>5</v>
      </c>
      <c r="D214" s="7">
        <f t="shared" ca="1" si="8"/>
        <v>26</v>
      </c>
      <c r="E214" s="17" cm="1">
        <f t="array" aca="1" ref="E214" ca="1">ABS(IF(Tabla1[[#This Row],[Bodega]]&gt;0,Tabla1[[#This Row],[Bodega]]*Tabla2[Costo unitario Inventario],Tabla1[[#This Row],[Bodega]]*Tabla2[Costo unitario Deficit]))</f>
        <v>13000</v>
      </c>
      <c r="F214" s="17" cm="1">
        <f t="array" aca="1" ref="F214" ca="1">(Tabla1[[#This Row],[Venta Dia]]*Tabla2[Precio de venta])-(Tabla1[[#This Row],[Venta Dia]]*Tabla2[Costo Produccion])-Tabla1[[#This Row],[Déficit bodega]]</f>
        <v>37000</v>
      </c>
    </row>
    <row r="215" spans="1:6" x14ac:dyDescent="0.2">
      <c r="A215" s="7">
        <v>180</v>
      </c>
      <c r="B215" s="7">
        <f t="shared" ca="1" si="6"/>
        <v>5</v>
      </c>
      <c r="C215" s="7">
        <f t="shared" ca="1" si="7"/>
        <v>5</v>
      </c>
      <c r="D215" s="7">
        <f t="shared" ca="1" si="8"/>
        <v>26</v>
      </c>
      <c r="E215" s="17" cm="1">
        <f t="array" aca="1" ref="E215" ca="1">ABS(IF(Tabla1[[#This Row],[Bodega]]&gt;0,Tabla1[[#This Row],[Bodega]]*Tabla2[Costo unitario Inventario],Tabla1[[#This Row],[Bodega]]*Tabla2[Costo unitario Deficit]))</f>
        <v>13000</v>
      </c>
      <c r="F215" s="17" cm="1">
        <f t="array" aca="1" ref="F215" ca="1">(Tabla1[[#This Row],[Venta Dia]]*Tabla2[Precio de venta])-(Tabla1[[#This Row],[Venta Dia]]*Tabla2[Costo Produccion])-Tabla1[[#This Row],[Déficit bodega]]</f>
        <v>37000</v>
      </c>
    </row>
    <row r="216" spans="1:6" x14ac:dyDescent="0.2">
      <c r="A216" s="7">
        <v>181</v>
      </c>
      <c r="B216" s="7">
        <f t="shared" ca="1" si="6"/>
        <v>5</v>
      </c>
      <c r="C216" s="7">
        <f t="shared" ca="1" si="7"/>
        <v>5</v>
      </c>
      <c r="D216" s="7">
        <f t="shared" ca="1" si="8"/>
        <v>26</v>
      </c>
      <c r="E216" s="17" cm="1">
        <f t="array" aca="1" ref="E216" ca="1">ABS(IF(Tabla1[[#This Row],[Bodega]]&gt;0,Tabla1[[#This Row],[Bodega]]*Tabla2[Costo unitario Inventario],Tabla1[[#This Row],[Bodega]]*Tabla2[Costo unitario Deficit]))</f>
        <v>13000</v>
      </c>
      <c r="F216" s="17" cm="1">
        <f t="array" aca="1" ref="F216" ca="1">(Tabla1[[#This Row],[Venta Dia]]*Tabla2[Precio de venta])-(Tabla1[[#This Row],[Venta Dia]]*Tabla2[Costo Produccion])-Tabla1[[#This Row],[Déficit bodega]]</f>
        <v>37000</v>
      </c>
    </row>
    <row r="217" spans="1:6" x14ac:dyDescent="0.2">
      <c r="A217" s="7">
        <v>182</v>
      </c>
      <c r="B217" s="7">
        <f t="shared" ca="1" si="6"/>
        <v>7</v>
      </c>
      <c r="C217" s="7">
        <f t="shared" ca="1" si="7"/>
        <v>5</v>
      </c>
      <c r="D217" s="7">
        <f t="shared" ca="1" si="8"/>
        <v>28</v>
      </c>
      <c r="E217" s="17" cm="1">
        <f t="array" aca="1" ref="E217" ca="1">ABS(IF(Tabla1[[#This Row],[Bodega]]&gt;0,Tabla1[[#This Row],[Bodega]]*Tabla2[Costo unitario Inventario],Tabla1[[#This Row],[Bodega]]*Tabla2[Costo unitario Deficit]))</f>
        <v>14000</v>
      </c>
      <c r="F217" s="17" cm="1">
        <f t="array" aca="1" ref="F217" ca="1">(Tabla1[[#This Row],[Venta Dia]]*Tabla2[Precio de venta])-(Tabla1[[#This Row],[Venta Dia]]*Tabla2[Costo Produccion])-Tabla1[[#This Row],[Déficit bodega]]</f>
        <v>36000</v>
      </c>
    </row>
    <row r="218" spans="1:6" x14ac:dyDescent="0.2">
      <c r="A218" s="7">
        <v>183</v>
      </c>
      <c r="B218" s="7">
        <f t="shared" ca="1" si="6"/>
        <v>4</v>
      </c>
      <c r="C218" s="7">
        <f t="shared" ca="1" si="7"/>
        <v>6</v>
      </c>
      <c r="D218" s="7">
        <f t="shared" ca="1" si="8"/>
        <v>26</v>
      </c>
      <c r="E218" s="17" cm="1">
        <f t="array" aca="1" ref="E218" ca="1">ABS(IF(Tabla1[[#This Row],[Bodega]]&gt;0,Tabla1[[#This Row],[Bodega]]*Tabla2[Costo unitario Inventario],Tabla1[[#This Row],[Bodega]]*Tabla2[Costo unitario Deficit]))</f>
        <v>13000</v>
      </c>
      <c r="F218" s="17" cm="1">
        <f t="array" aca="1" ref="F218" ca="1">(Tabla1[[#This Row],[Venta Dia]]*Tabla2[Precio de venta])-(Tabla1[[#This Row],[Venta Dia]]*Tabla2[Costo Produccion])-Tabla1[[#This Row],[Déficit bodega]]</f>
        <v>47000</v>
      </c>
    </row>
    <row r="219" spans="1:6" x14ac:dyDescent="0.2">
      <c r="A219" s="7">
        <v>184</v>
      </c>
      <c r="B219" s="7">
        <f t="shared" ca="1" si="6"/>
        <v>5</v>
      </c>
      <c r="C219" s="7">
        <f t="shared" ca="1" si="7"/>
        <v>5</v>
      </c>
      <c r="D219" s="7">
        <f t="shared" ca="1" si="8"/>
        <v>26</v>
      </c>
      <c r="E219" s="17" cm="1">
        <f t="array" aca="1" ref="E219" ca="1">ABS(IF(Tabla1[[#This Row],[Bodega]]&gt;0,Tabla1[[#This Row],[Bodega]]*Tabla2[Costo unitario Inventario],Tabla1[[#This Row],[Bodega]]*Tabla2[Costo unitario Deficit]))</f>
        <v>13000</v>
      </c>
      <c r="F219" s="17" cm="1">
        <f t="array" aca="1" ref="F219" ca="1">(Tabla1[[#This Row],[Venta Dia]]*Tabla2[Precio de venta])-(Tabla1[[#This Row],[Venta Dia]]*Tabla2[Costo Produccion])-Tabla1[[#This Row],[Déficit bodega]]</f>
        <v>37000</v>
      </c>
    </row>
    <row r="220" spans="1:6" x14ac:dyDescent="0.2">
      <c r="A220" s="7">
        <v>185</v>
      </c>
      <c r="B220" s="7">
        <f t="shared" ca="1" si="6"/>
        <v>3</v>
      </c>
      <c r="C220" s="7">
        <f t="shared" ca="1" si="7"/>
        <v>4</v>
      </c>
      <c r="D220" s="7">
        <f t="shared" ca="1" si="8"/>
        <v>25</v>
      </c>
      <c r="E220" s="17" cm="1">
        <f t="array" aca="1" ref="E220" ca="1">ABS(IF(Tabla1[[#This Row],[Bodega]]&gt;0,Tabla1[[#This Row],[Bodega]]*Tabla2[Costo unitario Inventario],Tabla1[[#This Row],[Bodega]]*Tabla2[Costo unitario Deficit]))</f>
        <v>12500</v>
      </c>
      <c r="F220" s="17" cm="1">
        <f t="array" aca="1" ref="F220" ca="1">(Tabla1[[#This Row],[Venta Dia]]*Tabla2[Precio de venta])-(Tabla1[[#This Row],[Venta Dia]]*Tabla2[Costo Produccion])-Tabla1[[#This Row],[Déficit bodega]]</f>
        <v>27500</v>
      </c>
    </row>
    <row r="221" spans="1:6" x14ac:dyDescent="0.2">
      <c r="A221" s="7">
        <v>186</v>
      </c>
      <c r="B221" s="7">
        <f t="shared" ca="1" si="6"/>
        <v>4</v>
      </c>
      <c r="C221" s="7">
        <f t="shared" ca="1" si="7"/>
        <v>4</v>
      </c>
      <c r="D221" s="7">
        <f t="shared" ca="1" si="8"/>
        <v>25</v>
      </c>
      <c r="E221" s="17" cm="1">
        <f t="array" aca="1" ref="E221" ca="1">ABS(IF(Tabla1[[#This Row],[Bodega]]&gt;0,Tabla1[[#This Row],[Bodega]]*Tabla2[Costo unitario Inventario],Tabla1[[#This Row],[Bodega]]*Tabla2[Costo unitario Deficit]))</f>
        <v>12500</v>
      </c>
      <c r="F221" s="17" cm="1">
        <f t="array" aca="1" ref="F221" ca="1">(Tabla1[[#This Row],[Venta Dia]]*Tabla2[Precio de venta])-(Tabla1[[#This Row],[Venta Dia]]*Tabla2[Costo Produccion])-Tabla1[[#This Row],[Déficit bodega]]</f>
        <v>27500</v>
      </c>
    </row>
    <row r="222" spans="1:6" x14ac:dyDescent="0.2">
      <c r="A222" s="7">
        <v>187</v>
      </c>
      <c r="B222" s="7">
        <f t="shared" ca="1" si="6"/>
        <v>3</v>
      </c>
      <c r="C222" s="7">
        <f t="shared" ca="1" si="7"/>
        <v>5</v>
      </c>
      <c r="D222" s="7">
        <f t="shared" ca="1" si="8"/>
        <v>23</v>
      </c>
      <c r="E222" s="17" cm="1">
        <f t="array" aca="1" ref="E222" ca="1">ABS(IF(Tabla1[[#This Row],[Bodega]]&gt;0,Tabla1[[#This Row],[Bodega]]*Tabla2[Costo unitario Inventario],Tabla1[[#This Row],[Bodega]]*Tabla2[Costo unitario Deficit]))</f>
        <v>11500</v>
      </c>
      <c r="F222" s="17" cm="1">
        <f t="array" aca="1" ref="F222" ca="1">(Tabla1[[#This Row],[Venta Dia]]*Tabla2[Precio de venta])-(Tabla1[[#This Row],[Venta Dia]]*Tabla2[Costo Produccion])-Tabla1[[#This Row],[Déficit bodega]]</f>
        <v>38500</v>
      </c>
    </row>
    <row r="223" spans="1:6" x14ac:dyDescent="0.2">
      <c r="A223" s="7">
        <v>188</v>
      </c>
      <c r="B223" s="7">
        <f t="shared" ca="1" si="6"/>
        <v>4</v>
      </c>
      <c r="C223" s="7">
        <f t="shared" ca="1" si="7"/>
        <v>5</v>
      </c>
      <c r="D223" s="7">
        <f t="shared" ca="1" si="8"/>
        <v>22</v>
      </c>
      <c r="E223" s="17" cm="1">
        <f t="array" aca="1" ref="E223" ca="1">ABS(IF(Tabla1[[#This Row],[Bodega]]&gt;0,Tabla1[[#This Row],[Bodega]]*Tabla2[Costo unitario Inventario],Tabla1[[#This Row],[Bodega]]*Tabla2[Costo unitario Deficit]))</f>
        <v>11000</v>
      </c>
      <c r="F223" s="17" cm="1">
        <f t="array" aca="1" ref="F223" ca="1">(Tabla1[[#This Row],[Venta Dia]]*Tabla2[Precio de venta])-(Tabla1[[#This Row],[Venta Dia]]*Tabla2[Costo Produccion])-Tabla1[[#This Row],[Déficit bodega]]</f>
        <v>39000</v>
      </c>
    </row>
    <row r="224" spans="1:6" x14ac:dyDescent="0.2">
      <c r="A224" s="7">
        <v>189</v>
      </c>
      <c r="B224" s="7">
        <f t="shared" ca="1" si="6"/>
        <v>3</v>
      </c>
      <c r="C224" s="7">
        <f t="shared" ca="1" si="7"/>
        <v>4</v>
      </c>
      <c r="D224" s="7">
        <f t="shared" ca="1" si="8"/>
        <v>21</v>
      </c>
      <c r="E224" s="17" cm="1">
        <f t="array" aca="1" ref="E224" ca="1">ABS(IF(Tabla1[[#This Row],[Bodega]]&gt;0,Tabla1[[#This Row],[Bodega]]*Tabla2[Costo unitario Inventario],Tabla1[[#This Row],[Bodega]]*Tabla2[Costo unitario Deficit]))</f>
        <v>10500</v>
      </c>
      <c r="F224" s="17" cm="1">
        <f t="array" aca="1" ref="F224" ca="1">(Tabla1[[#This Row],[Venta Dia]]*Tabla2[Precio de venta])-(Tabla1[[#This Row],[Venta Dia]]*Tabla2[Costo Produccion])-Tabla1[[#This Row],[Déficit bodega]]</f>
        <v>29500</v>
      </c>
    </row>
    <row r="225" spans="1:6" x14ac:dyDescent="0.2">
      <c r="A225" s="7">
        <v>190</v>
      </c>
      <c r="B225" s="7">
        <f t="shared" ca="1" si="6"/>
        <v>4</v>
      </c>
      <c r="C225" s="7">
        <f t="shared" ca="1" si="7"/>
        <v>4</v>
      </c>
      <c r="D225" s="7">
        <f t="shared" ca="1" si="8"/>
        <v>21</v>
      </c>
      <c r="E225" s="17" cm="1">
        <f t="array" aca="1" ref="E225" ca="1">ABS(IF(Tabla1[[#This Row],[Bodega]]&gt;0,Tabla1[[#This Row],[Bodega]]*Tabla2[Costo unitario Inventario],Tabla1[[#This Row],[Bodega]]*Tabla2[Costo unitario Deficit]))</f>
        <v>10500</v>
      </c>
      <c r="F225" s="17" cm="1">
        <f t="array" aca="1" ref="F225" ca="1">(Tabla1[[#This Row],[Venta Dia]]*Tabla2[Precio de venta])-(Tabla1[[#This Row],[Venta Dia]]*Tabla2[Costo Produccion])-Tabla1[[#This Row],[Déficit bodega]]</f>
        <v>29500</v>
      </c>
    </row>
    <row r="226" spans="1:6" x14ac:dyDescent="0.2">
      <c r="A226" s="7">
        <v>191</v>
      </c>
      <c r="B226" s="7">
        <f t="shared" ca="1" si="6"/>
        <v>7</v>
      </c>
      <c r="C226" s="7">
        <f t="shared" ca="1" si="7"/>
        <v>5</v>
      </c>
      <c r="D226" s="7">
        <f t="shared" ca="1" si="8"/>
        <v>23</v>
      </c>
      <c r="E226" s="17" cm="1">
        <f t="array" aca="1" ref="E226" ca="1">ABS(IF(Tabla1[[#This Row],[Bodega]]&gt;0,Tabla1[[#This Row],[Bodega]]*Tabla2[Costo unitario Inventario],Tabla1[[#This Row],[Bodega]]*Tabla2[Costo unitario Deficit]))</f>
        <v>11500</v>
      </c>
      <c r="F226" s="17" cm="1">
        <f t="array" aca="1" ref="F226" ca="1">(Tabla1[[#This Row],[Venta Dia]]*Tabla2[Precio de venta])-(Tabla1[[#This Row],[Venta Dia]]*Tabla2[Costo Produccion])-Tabla1[[#This Row],[Déficit bodega]]</f>
        <v>38500</v>
      </c>
    </row>
    <row r="227" spans="1:6" x14ac:dyDescent="0.2">
      <c r="A227" s="7">
        <v>192</v>
      </c>
      <c r="B227" s="7">
        <f t="shared" ca="1" si="6"/>
        <v>6</v>
      </c>
      <c r="C227" s="7">
        <f t="shared" ca="1" si="7"/>
        <v>5</v>
      </c>
      <c r="D227" s="7">
        <f t="shared" ca="1" si="8"/>
        <v>24</v>
      </c>
      <c r="E227" s="17" cm="1">
        <f t="array" aca="1" ref="E227" ca="1">ABS(IF(Tabla1[[#This Row],[Bodega]]&gt;0,Tabla1[[#This Row],[Bodega]]*Tabla2[Costo unitario Inventario],Tabla1[[#This Row],[Bodega]]*Tabla2[Costo unitario Deficit]))</f>
        <v>12000</v>
      </c>
      <c r="F227" s="17" cm="1">
        <f t="array" aca="1" ref="F227" ca="1">(Tabla1[[#This Row],[Venta Dia]]*Tabla2[Precio de venta])-(Tabla1[[#This Row],[Venta Dia]]*Tabla2[Costo Produccion])-Tabla1[[#This Row],[Déficit bodega]]</f>
        <v>38000</v>
      </c>
    </row>
    <row r="228" spans="1:6" x14ac:dyDescent="0.2">
      <c r="A228" s="7">
        <v>193</v>
      </c>
      <c r="B228" s="7">
        <f t="shared" ref="B228:B291" ca="1" si="9">RANDBETWEEN($A$33,$B$33)</f>
        <v>3</v>
      </c>
      <c r="C228" s="7">
        <f t="shared" ca="1" si="7"/>
        <v>5</v>
      </c>
      <c r="D228" s="7">
        <f t="shared" ca="1" si="8"/>
        <v>22</v>
      </c>
      <c r="E228" s="17" cm="1">
        <f t="array" aca="1" ref="E228" ca="1">ABS(IF(Tabla1[[#This Row],[Bodega]]&gt;0,Tabla1[[#This Row],[Bodega]]*Tabla2[Costo unitario Inventario],Tabla1[[#This Row],[Bodega]]*Tabla2[Costo unitario Deficit]))</f>
        <v>11000</v>
      </c>
      <c r="F228" s="17" cm="1">
        <f t="array" aca="1" ref="F228" ca="1">(Tabla1[[#This Row],[Venta Dia]]*Tabla2[Precio de venta])-(Tabla1[[#This Row],[Venta Dia]]*Tabla2[Costo Produccion])-Tabla1[[#This Row],[Déficit bodega]]</f>
        <v>39000</v>
      </c>
    </row>
    <row r="229" spans="1:6" x14ac:dyDescent="0.2">
      <c r="A229" s="7">
        <v>194</v>
      </c>
      <c r="B229" s="7">
        <f t="shared" ca="1" si="9"/>
        <v>3</v>
      </c>
      <c r="C229" s="7">
        <f t="shared" ref="C229:C292" ca="1" si="10">IF(RAND()&gt;=0.5,5,IF(RAND()&gt;=0.2,4,6))</f>
        <v>6</v>
      </c>
      <c r="D229" s="7">
        <f t="shared" ca="1" si="8"/>
        <v>19</v>
      </c>
      <c r="E229" s="17" cm="1">
        <f t="array" aca="1" ref="E229" ca="1">ABS(IF(Tabla1[[#This Row],[Bodega]]&gt;0,Tabla1[[#This Row],[Bodega]]*Tabla2[Costo unitario Inventario],Tabla1[[#This Row],[Bodega]]*Tabla2[Costo unitario Deficit]))</f>
        <v>9500</v>
      </c>
      <c r="F229" s="17" cm="1">
        <f t="array" aca="1" ref="F229" ca="1">(Tabla1[[#This Row],[Venta Dia]]*Tabla2[Precio de venta])-(Tabla1[[#This Row],[Venta Dia]]*Tabla2[Costo Produccion])-Tabla1[[#This Row],[Déficit bodega]]</f>
        <v>50500</v>
      </c>
    </row>
    <row r="230" spans="1:6" x14ac:dyDescent="0.2">
      <c r="A230" s="7">
        <v>195</v>
      </c>
      <c r="B230" s="7">
        <f t="shared" ca="1" si="9"/>
        <v>3</v>
      </c>
      <c r="C230" s="7">
        <f t="shared" ca="1" si="10"/>
        <v>5</v>
      </c>
      <c r="D230" s="7">
        <f t="shared" ref="D230:D293" ca="1" si="11">D229+B230-C230</f>
        <v>17</v>
      </c>
      <c r="E230" s="17" cm="1">
        <f t="array" aca="1" ref="E230" ca="1">ABS(IF(Tabla1[[#This Row],[Bodega]]&gt;0,Tabla1[[#This Row],[Bodega]]*Tabla2[Costo unitario Inventario],Tabla1[[#This Row],[Bodega]]*Tabla2[Costo unitario Deficit]))</f>
        <v>8500</v>
      </c>
      <c r="F230" s="17" cm="1">
        <f t="array" aca="1" ref="F230" ca="1">(Tabla1[[#This Row],[Venta Dia]]*Tabla2[Precio de venta])-(Tabla1[[#This Row],[Venta Dia]]*Tabla2[Costo Produccion])-Tabla1[[#This Row],[Déficit bodega]]</f>
        <v>41500</v>
      </c>
    </row>
    <row r="231" spans="1:6" x14ac:dyDescent="0.2">
      <c r="A231" s="7">
        <v>196</v>
      </c>
      <c r="B231" s="7">
        <f t="shared" ca="1" si="9"/>
        <v>5</v>
      </c>
      <c r="C231" s="7">
        <f t="shared" ca="1" si="10"/>
        <v>5</v>
      </c>
      <c r="D231" s="7">
        <f t="shared" ca="1" si="11"/>
        <v>17</v>
      </c>
      <c r="E231" s="17" cm="1">
        <f t="array" aca="1" ref="E231" ca="1">ABS(IF(Tabla1[[#This Row],[Bodega]]&gt;0,Tabla1[[#This Row],[Bodega]]*Tabla2[Costo unitario Inventario],Tabla1[[#This Row],[Bodega]]*Tabla2[Costo unitario Deficit]))</f>
        <v>8500</v>
      </c>
      <c r="F231" s="17" cm="1">
        <f t="array" aca="1" ref="F231" ca="1">(Tabla1[[#This Row],[Venta Dia]]*Tabla2[Precio de venta])-(Tabla1[[#This Row],[Venta Dia]]*Tabla2[Costo Produccion])-Tabla1[[#This Row],[Déficit bodega]]</f>
        <v>41500</v>
      </c>
    </row>
    <row r="232" spans="1:6" x14ac:dyDescent="0.2">
      <c r="A232" s="7">
        <v>197</v>
      </c>
      <c r="B232" s="7">
        <f t="shared" ca="1" si="9"/>
        <v>6</v>
      </c>
      <c r="C232" s="7">
        <f t="shared" ca="1" si="10"/>
        <v>5</v>
      </c>
      <c r="D232" s="7">
        <f t="shared" ca="1" si="11"/>
        <v>18</v>
      </c>
      <c r="E232" s="17" cm="1">
        <f t="array" aca="1" ref="E232" ca="1">ABS(IF(Tabla1[[#This Row],[Bodega]]&gt;0,Tabla1[[#This Row],[Bodega]]*Tabla2[Costo unitario Inventario],Tabla1[[#This Row],[Bodega]]*Tabla2[Costo unitario Deficit]))</f>
        <v>9000</v>
      </c>
      <c r="F232" s="17" cm="1">
        <f t="array" aca="1" ref="F232" ca="1">(Tabla1[[#This Row],[Venta Dia]]*Tabla2[Precio de venta])-(Tabla1[[#This Row],[Venta Dia]]*Tabla2[Costo Produccion])-Tabla1[[#This Row],[Déficit bodega]]</f>
        <v>41000</v>
      </c>
    </row>
    <row r="233" spans="1:6" x14ac:dyDescent="0.2">
      <c r="A233" s="7">
        <v>198</v>
      </c>
      <c r="B233" s="7">
        <f t="shared" ca="1" si="9"/>
        <v>5</v>
      </c>
      <c r="C233" s="7">
        <f t="shared" ca="1" si="10"/>
        <v>4</v>
      </c>
      <c r="D233" s="7">
        <f t="shared" ca="1" si="11"/>
        <v>19</v>
      </c>
      <c r="E233" s="17" cm="1">
        <f t="array" aca="1" ref="E233" ca="1">ABS(IF(Tabla1[[#This Row],[Bodega]]&gt;0,Tabla1[[#This Row],[Bodega]]*Tabla2[Costo unitario Inventario],Tabla1[[#This Row],[Bodega]]*Tabla2[Costo unitario Deficit]))</f>
        <v>9500</v>
      </c>
      <c r="F233" s="17" cm="1">
        <f t="array" aca="1" ref="F233" ca="1">(Tabla1[[#This Row],[Venta Dia]]*Tabla2[Precio de venta])-(Tabla1[[#This Row],[Venta Dia]]*Tabla2[Costo Produccion])-Tabla1[[#This Row],[Déficit bodega]]</f>
        <v>30500</v>
      </c>
    </row>
    <row r="234" spans="1:6" x14ac:dyDescent="0.2">
      <c r="A234" s="7">
        <v>199</v>
      </c>
      <c r="B234" s="7">
        <f t="shared" ca="1" si="9"/>
        <v>6</v>
      </c>
      <c r="C234" s="7">
        <f t="shared" ca="1" si="10"/>
        <v>5</v>
      </c>
      <c r="D234" s="7">
        <f t="shared" ca="1" si="11"/>
        <v>20</v>
      </c>
      <c r="E234" s="17" cm="1">
        <f t="array" aca="1" ref="E234" ca="1">ABS(IF(Tabla1[[#This Row],[Bodega]]&gt;0,Tabla1[[#This Row],[Bodega]]*Tabla2[Costo unitario Inventario],Tabla1[[#This Row],[Bodega]]*Tabla2[Costo unitario Deficit]))</f>
        <v>10000</v>
      </c>
      <c r="F234" s="17" cm="1">
        <f t="array" aca="1" ref="F234" ca="1">(Tabla1[[#This Row],[Venta Dia]]*Tabla2[Precio de venta])-(Tabla1[[#This Row],[Venta Dia]]*Tabla2[Costo Produccion])-Tabla1[[#This Row],[Déficit bodega]]</f>
        <v>40000</v>
      </c>
    </row>
    <row r="235" spans="1:6" x14ac:dyDescent="0.2">
      <c r="A235" s="7">
        <v>200</v>
      </c>
      <c r="B235" s="7">
        <f t="shared" ca="1" si="9"/>
        <v>7</v>
      </c>
      <c r="C235" s="7">
        <f t="shared" ca="1" si="10"/>
        <v>4</v>
      </c>
      <c r="D235" s="7">
        <f t="shared" ca="1" si="11"/>
        <v>23</v>
      </c>
      <c r="E235" s="17" cm="1">
        <f t="array" aca="1" ref="E235" ca="1">ABS(IF(Tabla1[[#This Row],[Bodega]]&gt;0,Tabla1[[#This Row],[Bodega]]*Tabla2[Costo unitario Inventario],Tabla1[[#This Row],[Bodega]]*Tabla2[Costo unitario Deficit]))</f>
        <v>11500</v>
      </c>
      <c r="F235" s="17" cm="1">
        <f t="array" aca="1" ref="F235" ca="1">(Tabla1[[#This Row],[Venta Dia]]*Tabla2[Precio de venta])-(Tabla1[[#This Row],[Venta Dia]]*Tabla2[Costo Produccion])-Tabla1[[#This Row],[Déficit bodega]]</f>
        <v>28500</v>
      </c>
    </row>
    <row r="236" spans="1:6" x14ac:dyDescent="0.2">
      <c r="A236" s="7">
        <v>201</v>
      </c>
      <c r="B236" s="7">
        <f t="shared" ca="1" si="9"/>
        <v>4</v>
      </c>
      <c r="C236" s="7">
        <f t="shared" ca="1" si="10"/>
        <v>5</v>
      </c>
      <c r="D236" s="7">
        <f t="shared" ca="1" si="11"/>
        <v>22</v>
      </c>
      <c r="E236" s="17" cm="1">
        <f t="array" aca="1" ref="E236" ca="1">ABS(IF(Tabla1[[#This Row],[Bodega]]&gt;0,Tabla1[[#This Row],[Bodega]]*Tabla2[Costo unitario Inventario],Tabla1[[#This Row],[Bodega]]*Tabla2[Costo unitario Deficit]))</f>
        <v>11000</v>
      </c>
      <c r="F236" s="17" cm="1">
        <f t="array" aca="1" ref="F236" ca="1">(Tabla1[[#This Row],[Venta Dia]]*Tabla2[Precio de venta])-(Tabla1[[#This Row],[Venta Dia]]*Tabla2[Costo Produccion])-Tabla1[[#This Row],[Déficit bodega]]</f>
        <v>39000</v>
      </c>
    </row>
    <row r="237" spans="1:6" x14ac:dyDescent="0.2">
      <c r="A237" s="7">
        <v>202</v>
      </c>
      <c r="B237" s="7">
        <f t="shared" ca="1" si="9"/>
        <v>7</v>
      </c>
      <c r="C237" s="7">
        <f t="shared" ca="1" si="10"/>
        <v>4</v>
      </c>
      <c r="D237" s="7">
        <f t="shared" ca="1" si="11"/>
        <v>25</v>
      </c>
      <c r="E237" s="17" cm="1">
        <f t="array" aca="1" ref="E237" ca="1">ABS(IF(Tabla1[[#This Row],[Bodega]]&gt;0,Tabla1[[#This Row],[Bodega]]*Tabla2[Costo unitario Inventario],Tabla1[[#This Row],[Bodega]]*Tabla2[Costo unitario Deficit]))</f>
        <v>12500</v>
      </c>
      <c r="F237" s="17" cm="1">
        <f t="array" aca="1" ref="F237" ca="1">(Tabla1[[#This Row],[Venta Dia]]*Tabla2[Precio de venta])-(Tabla1[[#This Row],[Venta Dia]]*Tabla2[Costo Produccion])-Tabla1[[#This Row],[Déficit bodega]]</f>
        <v>27500</v>
      </c>
    </row>
    <row r="238" spans="1:6" x14ac:dyDescent="0.2">
      <c r="A238" s="7">
        <v>203</v>
      </c>
      <c r="B238" s="7">
        <f t="shared" ca="1" si="9"/>
        <v>4</v>
      </c>
      <c r="C238" s="7">
        <f t="shared" ca="1" si="10"/>
        <v>4</v>
      </c>
      <c r="D238" s="7">
        <f t="shared" ca="1" si="11"/>
        <v>25</v>
      </c>
      <c r="E238" s="17" cm="1">
        <f t="array" aca="1" ref="E238" ca="1">ABS(IF(Tabla1[[#This Row],[Bodega]]&gt;0,Tabla1[[#This Row],[Bodega]]*Tabla2[Costo unitario Inventario],Tabla1[[#This Row],[Bodega]]*Tabla2[Costo unitario Deficit]))</f>
        <v>12500</v>
      </c>
      <c r="F238" s="17" cm="1">
        <f t="array" aca="1" ref="F238" ca="1">(Tabla1[[#This Row],[Venta Dia]]*Tabla2[Precio de venta])-(Tabla1[[#This Row],[Venta Dia]]*Tabla2[Costo Produccion])-Tabla1[[#This Row],[Déficit bodega]]</f>
        <v>27500</v>
      </c>
    </row>
    <row r="239" spans="1:6" x14ac:dyDescent="0.2">
      <c r="A239" s="7">
        <v>204</v>
      </c>
      <c r="B239" s="7">
        <f t="shared" ca="1" si="9"/>
        <v>5</v>
      </c>
      <c r="C239" s="7">
        <f t="shared" ca="1" si="10"/>
        <v>5</v>
      </c>
      <c r="D239" s="7">
        <f t="shared" ca="1" si="11"/>
        <v>25</v>
      </c>
      <c r="E239" s="17" cm="1">
        <f t="array" aca="1" ref="E239" ca="1">ABS(IF(Tabla1[[#This Row],[Bodega]]&gt;0,Tabla1[[#This Row],[Bodega]]*Tabla2[Costo unitario Inventario],Tabla1[[#This Row],[Bodega]]*Tabla2[Costo unitario Deficit]))</f>
        <v>12500</v>
      </c>
      <c r="F239" s="17" cm="1">
        <f t="array" aca="1" ref="F239" ca="1">(Tabla1[[#This Row],[Venta Dia]]*Tabla2[Precio de venta])-(Tabla1[[#This Row],[Venta Dia]]*Tabla2[Costo Produccion])-Tabla1[[#This Row],[Déficit bodega]]</f>
        <v>37500</v>
      </c>
    </row>
    <row r="240" spans="1:6" x14ac:dyDescent="0.2">
      <c r="A240" s="7">
        <v>205</v>
      </c>
      <c r="B240" s="7">
        <f t="shared" ca="1" si="9"/>
        <v>7</v>
      </c>
      <c r="C240" s="7">
        <f t="shared" ca="1" si="10"/>
        <v>5</v>
      </c>
      <c r="D240" s="7">
        <f t="shared" ca="1" si="11"/>
        <v>27</v>
      </c>
      <c r="E240" s="17" cm="1">
        <f t="array" aca="1" ref="E240" ca="1">ABS(IF(Tabla1[[#This Row],[Bodega]]&gt;0,Tabla1[[#This Row],[Bodega]]*Tabla2[Costo unitario Inventario],Tabla1[[#This Row],[Bodega]]*Tabla2[Costo unitario Deficit]))</f>
        <v>13500</v>
      </c>
      <c r="F240" s="17" cm="1">
        <f t="array" aca="1" ref="F240" ca="1">(Tabla1[[#This Row],[Venta Dia]]*Tabla2[Precio de venta])-(Tabla1[[#This Row],[Venta Dia]]*Tabla2[Costo Produccion])-Tabla1[[#This Row],[Déficit bodega]]</f>
        <v>36500</v>
      </c>
    </row>
    <row r="241" spans="1:6" x14ac:dyDescent="0.2">
      <c r="A241" s="7">
        <v>206</v>
      </c>
      <c r="B241" s="7">
        <f t="shared" ca="1" si="9"/>
        <v>5</v>
      </c>
      <c r="C241" s="7">
        <f t="shared" ca="1" si="10"/>
        <v>6</v>
      </c>
      <c r="D241" s="7">
        <f t="shared" ca="1" si="11"/>
        <v>26</v>
      </c>
      <c r="E241" s="17" cm="1">
        <f t="array" aca="1" ref="E241" ca="1">ABS(IF(Tabla1[[#This Row],[Bodega]]&gt;0,Tabla1[[#This Row],[Bodega]]*Tabla2[Costo unitario Inventario],Tabla1[[#This Row],[Bodega]]*Tabla2[Costo unitario Deficit]))</f>
        <v>13000</v>
      </c>
      <c r="F241" s="17" cm="1">
        <f t="array" aca="1" ref="F241" ca="1">(Tabla1[[#This Row],[Venta Dia]]*Tabla2[Precio de venta])-(Tabla1[[#This Row],[Venta Dia]]*Tabla2[Costo Produccion])-Tabla1[[#This Row],[Déficit bodega]]</f>
        <v>47000</v>
      </c>
    </row>
    <row r="242" spans="1:6" x14ac:dyDescent="0.2">
      <c r="A242" s="7">
        <v>207</v>
      </c>
      <c r="B242" s="7">
        <f t="shared" ca="1" si="9"/>
        <v>4</v>
      </c>
      <c r="C242" s="7">
        <f t="shared" ca="1" si="10"/>
        <v>5</v>
      </c>
      <c r="D242" s="7">
        <f t="shared" ca="1" si="11"/>
        <v>25</v>
      </c>
      <c r="E242" s="17" cm="1">
        <f t="array" aca="1" ref="E242" ca="1">ABS(IF(Tabla1[[#This Row],[Bodega]]&gt;0,Tabla1[[#This Row],[Bodega]]*Tabla2[Costo unitario Inventario],Tabla1[[#This Row],[Bodega]]*Tabla2[Costo unitario Deficit]))</f>
        <v>12500</v>
      </c>
      <c r="F242" s="17" cm="1">
        <f t="array" aca="1" ref="F242" ca="1">(Tabla1[[#This Row],[Venta Dia]]*Tabla2[Precio de venta])-(Tabla1[[#This Row],[Venta Dia]]*Tabla2[Costo Produccion])-Tabla1[[#This Row],[Déficit bodega]]</f>
        <v>37500</v>
      </c>
    </row>
    <row r="243" spans="1:6" x14ac:dyDescent="0.2">
      <c r="A243" s="7">
        <v>208</v>
      </c>
      <c r="B243" s="7">
        <f t="shared" ca="1" si="9"/>
        <v>6</v>
      </c>
      <c r="C243" s="7">
        <f t="shared" ca="1" si="10"/>
        <v>4</v>
      </c>
      <c r="D243" s="7">
        <f t="shared" ca="1" si="11"/>
        <v>27</v>
      </c>
      <c r="E243" s="17" cm="1">
        <f t="array" aca="1" ref="E243" ca="1">ABS(IF(Tabla1[[#This Row],[Bodega]]&gt;0,Tabla1[[#This Row],[Bodega]]*Tabla2[Costo unitario Inventario],Tabla1[[#This Row],[Bodega]]*Tabla2[Costo unitario Deficit]))</f>
        <v>13500</v>
      </c>
      <c r="F243" s="17" cm="1">
        <f t="array" aca="1" ref="F243" ca="1">(Tabla1[[#This Row],[Venta Dia]]*Tabla2[Precio de venta])-(Tabla1[[#This Row],[Venta Dia]]*Tabla2[Costo Produccion])-Tabla1[[#This Row],[Déficit bodega]]</f>
        <v>26500</v>
      </c>
    </row>
    <row r="244" spans="1:6" x14ac:dyDescent="0.2">
      <c r="A244" s="7">
        <v>209</v>
      </c>
      <c r="B244" s="7">
        <f t="shared" ca="1" si="9"/>
        <v>5</v>
      </c>
      <c r="C244" s="7">
        <f t="shared" ca="1" si="10"/>
        <v>4</v>
      </c>
      <c r="D244" s="7">
        <f t="shared" ca="1" si="11"/>
        <v>28</v>
      </c>
      <c r="E244" s="17" cm="1">
        <f t="array" aca="1" ref="E244" ca="1">ABS(IF(Tabla1[[#This Row],[Bodega]]&gt;0,Tabla1[[#This Row],[Bodega]]*Tabla2[Costo unitario Inventario],Tabla1[[#This Row],[Bodega]]*Tabla2[Costo unitario Deficit]))</f>
        <v>14000</v>
      </c>
      <c r="F244" s="17" cm="1">
        <f t="array" aca="1" ref="F244" ca="1">(Tabla1[[#This Row],[Venta Dia]]*Tabla2[Precio de venta])-(Tabla1[[#This Row],[Venta Dia]]*Tabla2[Costo Produccion])-Tabla1[[#This Row],[Déficit bodega]]</f>
        <v>26000</v>
      </c>
    </row>
    <row r="245" spans="1:6" x14ac:dyDescent="0.2">
      <c r="A245" s="7">
        <v>210</v>
      </c>
      <c r="B245" s="7">
        <f t="shared" ca="1" si="9"/>
        <v>7</v>
      </c>
      <c r="C245" s="7">
        <f t="shared" ca="1" si="10"/>
        <v>5</v>
      </c>
      <c r="D245" s="7">
        <f t="shared" ca="1" si="11"/>
        <v>30</v>
      </c>
      <c r="E245" s="17" cm="1">
        <f t="array" aca="1" ref="E245" ca="1">ABS(IF(Tabla1[[#This Row],[Bodega]]&gt;0,Tabla1[[#This Row],[Bodega]]*Tabla2[Costo unitario Inventario],Tabla1[[#This Row],[Bodega]]*Tabla2[Costo unitario Deficit]))</f>
        <v>15000</v>
      </c>
      <c r="F245" s="17" cm="1">
        <f t="array" aca="1" ref="F245" ca="1">(Tabla1[[#This Row],[Venta Dia]]*Tabla2[Precio de venta])-(Tabla1[[#This Row],[Venta Dia]]*Tabla2[Costo Produccion])-Tabla1[[#This Row],[Déficit bodega]]</f>
        <v>35000</v>
      </c>
    </row>
    <row r="246" spans="1:6" x14ac:dyDescent="0.2">
      <c r="A246" s="7">
        <v>211</v>
      </c>
      <c r="B246" s="7">
        <f t="shared" ca="1" si="9"/>
        <v>6</v>
      </c>
      <c r="C246" s="7">
        <f t="shared" ca="1" si="10"/>
        <v>5</v>
      </c>
      <c r="D246" s="7">
        <f t="shared" ca="1" si="11"/>
        <v>31</v>
      </c>
      <c r="E246" s="17" cm="1">
        <f t="array" aca="1" ref="E246" ca="1">ABS(IF(Tabla1[[#This Row],[Bodega]]&gt;0,Tabla1[[#This Row],[Bodega]]*Tabla2[Costo unitario Inventario],Tabla1[[#This Row],[Bodega]]*Tabla2[Costo unitario Deficit]))</f>
        <v>15500</v>
      </c>
      <c r="F246" s="17" cm="1">
        <f t="array" aca="1" ref="F246" ca="1">(Tabla1[[#This Row],[Venta Dia]]*Tabla2[Precio de venta])-(Tabla1[[#This Row],[Venta Dia]]*Tabla2[Costo Produccion])-Tabla1[[#This Row],[Déficit bodega]]</f>
        <v>34500</v>
      </c>
    </row>
    <row r="247" spans="1:6" x14ac:dyDescent="0.2">
      <c r="A247" s="7">
        <v>212</v>
      </c>
      <c r="B247" s="7">
        <f t="shared" ca="1" si="9"/>
        <v>4</v>
      </c>
      <c r="C247" s="7">
        <f t="shared" ca="1" si="10"/>
        <v>5</v>
      </c>
      <c r="D247" s="7">
        <f t="shared" ca="1" si="11"/>
        <v>30</v>
      </c>
      <c r="E247" s="17" cm="1">
        <f t="array" aca="1" ref="E247" ca="1">ABS(IF(Tabla1[[#This Row],[Bodega]]&gt;0,Tabla1[[#This Row],[Bodega]]*Tabla2[Costo unitario Inventario],Tabla1[[#This Row],[Bodega]]*Tabla2[Costo unitario Deficit]))</f>
        <v>15000</v>
      </c>
      <c r="F247" s="17" cm="1">
        <f t="array" aca="1" ref="F247" ca="1">(Tabla1[[#This Row],[Venta Dia]]*Tabla2[Precio de venta])-(Tabla1[[#This Row],[Venta Dia]]*Tabla2[Costo Produccion])-Tabla1[[#This Row],[Déficit bodega]]</f>
        <v>35000</v>
      </c>
    </row>
    <row r="248" spans="1:6" x14ac:dyDescent="0.2">
      <c r="A248" s="7">
        <v>213</v>
      </c>
      <c r="B248" s="7">
        <f t="shared" ca="1" si="9"/>
        <v>7</v>
      </c>
      <c r="C248" s="7">
        <f t="shared" ca="1" si="10"/>
        <v>5</v>
      </c>
      <c r="D248" s="7">
        <f t="shared" ca="1" si="11"/>
        <v>32</v>
      </c>
      <c r="E248" s="17" cm="1">
        <f t="array" aca="1" ref="E248" ca="1">ABS(IF(Tabla1[[#This Row],[Bodega]]&gt;0,Tabla1[[#This Row],[Bodega]]*Tabla2[Costo unitario Inventario],Tabla1[[#This Row],[Bodega]]*Tabla2[Costo unitario Deficit]))</f>
        <v>16000</v>
      </c>
      <c r="F248" s="17" cm="1">
        <f t="array" aca="1" ref="F248" ca="1">(Tabla1[[#This Row],[Venta Dia]]*Tabla2[Precio de venta])-(Tabla1[[#This Row],[Venta Dia]]*Tabla2[Costo Produccion])-Tabla1[[#This Row],[Déficit bodega]]</f>
        <v>34000</v>
      </c>
    </row>
    <row r="249" spans="1:6" x14ac:dyDescent="0.2">
      <c r="A249" s="7">
        <v>214</v>
      </c>
      <c r="B249" s="7">
        <f t="shared" ca="1" si="9"/>
        <v>4</v>
      </c>
      <c r="C249" s="7">
        <f t="shared" ca="1" si="10"/>
        <v>4</v>
      </c>
      <c r="D249" s="7">
        <f t="shared" ca="1" si="11"/>
        <v>32</v>
      </c>
      <c r="E249" s="17" cm="1">
        <f t="array" aca="1" ref="E249" ca="1">ABS(IF(Tabla1[[#This Row],[Bodega]]&gt;0,Tabla1[[#This Row],[Bodega]]*Tabla2[Costo unitario Inventario],Tabla1[[#This Row],[Bodega]]*Tabla2[Costo unitario Deficit]))</f>
        <v>16000</v>
      </c>
      <c r="F249" s="17" cm="1">
        <f t="array" aca="1" ref="F249" ca="1">(Tabla1[[#This Row],[Venta Dia]]*Tabla2[Precio de venta])-(Tabla1[[#This Row],[Venta Dia]]*Tabla2[Costo Produccion])-Tabla1[[#This Row],[Déficit bodega]]</f>
        <v>24000</v>
      </c>
    </row>
    <row r="250" spans="1:6" x14ac:dyDescent="0.2">
      <c r="A250" s="7">
        <v>215</v>
      </c>
      <c r="B250" s="7">
        <f t="shared" ca="1" si="9"/>
        <v>5</v>
      </c>
      <c r="C250" s="7">
        <f t="shared" ca="1" si="10"/>
        <v>5</v>
      </c>
      <c r="D250" s="7">
        <f t="shared" ca="1" si="11"/>
        <v>32</v>
      </c>
      <c r="E250" s="17" cm="1">
        <f t="array" aca="1" ref="E250" ca="1">ABS(IF(Tabla1[[#This Row],[Bodega]]&gt;0,Tabla1[[#This Row],[Bodega]]*Tabla2[Costo unitario Inventario],Tabla1[[#This Row],[Bodega]]*Tabla2[Costo unitario Deficit]))</f>
        <v>16000</v>
      </c>
      <c r="F250" s="17" cm="1">
        <f t="array" aca="1" ref="F250" ca="1">(Tabla1[[#This Row],[Venta Dia]]*Tabla2[Precio de venta])-(Tabla1[[#This Row],[Venta Dia]]*Tabla2[Costo Produccion])-Tabla1[[#This Row],[Déficit bodega]]</f>
        <v>34000</v>
      </c>
    </row>
    <row r="251" spans="1:6" x14ac:dyDescent="0.2">
      <c r="A251" s="7">
        <v>216</v>
      </c>
      <c r="B251" s="7">
        <f t="shared" ca="1" si="9"/>
        <v>3</v>
      </c>
      <c r="C251" s="7">
        <f t="shared" ca="1" si="10"/>
        <v>6</v>
      </c>
      <c r="D251" s="7">
        <f t="shared" ca="1" si="11"/>
        <v>29</v>
      </c>
      <c r="E251" s="17" cm="1">
        <f t="array" aca="1" ref="E251" ca="1">ABS(IF(Tabla1[[#This Row],[Bodega]]&gt;0,Tabla1[[#This Row],[Bodega]]*Tabla2[Costo unitario Inventario],Tabla1[[#This Row],[Bodega]]*Tabla2[Costo unitario Deficit]))</f>
        <v>14500</v>
      </c>
      <c r="F251" s="17" cm="1">
        <f t="array" aca="1" ref="F251" ca="1">(Tabla1[[#This Row],[Venta Dia]]*Tabla2[Precio de venta])-(Tabla1[[#This Row],[Venta Dia]]*Tabla2[Costo Produccion])-Tabla1[[#This Row],[Déficit bodega]]</f>
        <v>45500</v>
      </c>
    </row>
    <row r="252" spans="1:6" x14ac:dyDescent="0.2">
      <c r="A252" s="7">
        <v>217</v>
      </c>
      <c r="B252" s="7">
        <f t="shared" ca="1" si="9"/>
        <v>4</v>
      </c>
      <c r="C252" s="7">
        <f t="shared" ca="1" si="10"/>
        <v>5</v>
      </c>
      <c r="D252" s="7">
        <f t="shared" ca="1" si="11"/>
        <v>28</v>
      </c>
      <c r="E252" s="17" cm="1">
        <f t="array" aca="1" ref="E252" ca="1">ABS(IF(Tabla1[[#This Row],[Bodega]]&gt;0,Tabla1[[#This Row],[Bodega]]*Tabla2[Costo unitario Inventario],Tabla1[[#This Row],[Bodega]]*Tabla2[Costo unitario Deficit]))</f>
        <v>14000</v>
      </c>
      <c r="F252" s="17" cm="1">
        <f t="array" aca="1" ref="F252" ca="1">(Tabla1[[#This Row],[Venta Dia]]*Tabla2[Precio de venta])-(Tabla1[[#This Row],[Venta Dia]]*Tabla2[Costo Produccion])-Tabla1[[#This Row],[Déficit bodega]]</f>
        <v>36000</v>
      </c>
    </row>
    <row r="253" spans="1:6" x14ac:dyDescent="0.2">
      <c r="A253" s="7">
        <v>218</v>
      </c>
      <c r="B253" s="7">
        <f t="shared" ca="1" si="9"/>
        <v>3</v>
      </c>
      <c r="C253" s="7">
        <f t="shared" ca="1" si="10"/>
        <v>5</v>
      </c>
      <c r="D253" s="7">
        <f t="shared" ca="1" si="11"/>
        <v>26</v>
      </c>
      <c r="E253" s="17" cm="1">
        <f t="array" aca="1" ref="E253" ca="1">ABS(IF(Tabla1[[#This Row],[Bodega]]&gt;0,Tabla1[[#This Row],[Bodega]]*Tabla2[Costo unitario Inventario],Tabla1[[#This Row],[Bodega]]*Tabla2[Costo unitario Deficit]))</f>
        <v>13000</v>
      </c>
      <c r="F253" s="17" cm="1">
        <f t="array" aca="1" ref="F253" ca="1">(Tabla1[[#This Row],[Venta Dia]]*Tabla2[Precio de venta])-(Tabla1[[#This Row],[Venta Dia]]*Tabla2[Costo Produccion])-Tabla1[[#This Row],[Déficit bodega]]</f>
        <v>37000</v>
      </c>
    </row>
    <row r="254" spans="1:6" x14ac:dyDescent="0.2">
      <c r="A254" s="7">
        <v>219</v>
      </c>
      <c r="B254" s="7">
        <f t="shared" ca="1" si="9"/>
        <v>4</v>
      </c>
      <c r="C254" s="7">
        <f t="shared" ca="1" si="10"/>
        <v>4</v>
      </c>
      <c r="D254" s="7">
        <f t="shared" ca="1" si="11"/>
        <v>26</v>
      </c>
      <c r="E254" s="17" cm="1">
        <f t="array" aca="1" ref="E254" ca="1">ABS(IF(Tabla1[[#This Row],[Bodega]]&gt;0,Tabla1[[#This Row],[Bodega]]*Tabla2[Costo unitario Inventario],Tabla1[[#This Row],[Bodega]]*Tabla2[Costo unitario Deficit]))</f>
        <v>13000</v>
      </c>
      <c r="F254" s="17" cm="1">
        <f t="array" aca="1" ref="F254" ca="1">(Tabla1[[#This Row],[Venta Dia]]*Tabla2[Precio de venta])-(Tabla1[[#This Row],[Venta Dia]]*Tabla2[Costo Produccion])-Tabla1[[#This Row],[Déficit bodega]]</f>
        <v>27000</v>
      </c>
    </row>
    <row r="255" spans="1:6" x14ac:dyDescent="0.2">
      <c r="A255" s="7">
        <v>220</v>
      </c>
      <c r="B255" s="7">
        <f t="shared" ca="1" si="9"/>
        <v>6</v>
      </c>
      <c r="C255" s="7">
        <f t="shared" ca="1" si="10"/>
        <v>5</v>
      </c>
      <c r="D255" s="7">
        <f t="shared" ca="1" si="11"/>
        <v>27</v>
      </c>
      <c r="E255" s="17" cm="1">
        <f t="array" aca="1" ref="E255" ca="1">ABS(IF(Tabla1[[#This Row],[Bodega]]&gt;0,Tabla1[[#This Row],[Bodega]]*Tabla2[Costo unitario Inventario],Tabla1[[#This Row],[Bodega]]*Tabla2[Costo unitario Deficit]))</f>
        <v>13500</v>
      </c>
      <c r="F255" s="17" cm="1">
        <f t="array" aca="1" ref="F255" ca="1">(Tabla1[[#This Row],[Venta Dia]]*Tabla2[Precio de venta])-(Tabla1[[#This Row],[Venta Dia]]*Tabla2[Costo Produccion])-Tabla1[[#This Row],[Déficit bodega]]</f>
        <v>36500</v>
      </c>
    </row>
    <row r="256" spans="1:6" x14ac:dyDescent="0.2">
      <c r="A256" s="7">
        <v>221</v>
      </c>
      <c r="B256" s="7">
        <f t="shared" ca="1" si="9"/>
        <v>6</v>
      </c>
      <c r="C256" s="7">
        <f t="shared" ca="1" si="10"/>
        <v>4</v>
      </c>
      <c r="D256" s="7">
        <f t="shared" ca="1" si="11"/>
        <v>29</v>
      </c>
      <c r="E256" s="17" cm="1">
        <f t="array" aca="1" ref="E256" ca="1">ABS(IF(Tabla1[[#This Row],[Bodega]]&gt;0,Tabla1[[#This Row],[Bodega]]*Tabla2[Costo unitario Inventario],Tabla1[[#This Row],[Bodega]]*Tabla2[Costo unitario Deficit]))</f>
        <v>14500</v>
      </c>
      <c r="F256" s="17" cm="1">
        <f t="array" aca="1" ref="F256" ca="1">(Tabla1[[#This Row],[Venta Dia]]*Tabla2[Precio de venta])-(Tabla1[[#This Row],[Venta Dia]]*Tabla2[Costo Produccion])-Tabla1[[#This Row],[Déficit bodega]]</f>
        <v>25500</v>
      </c>
    </row>
    <row r="257" spans="1:6" x14ac:dyDescent="0.2">
      <c r="A257" s="7">
        <v>222</v>
      </c>
      <c r="B257" s="7">
        <f t="shared" ca="1" si="9"/>
        <v>3</v>
      </c>
      <c r="C257" s="7">
        <f t="shared" ca="1" si="10"/>
        <v>5</v>
      </c>
      <c r="D257" s="7">
        <f t="shared" ca="1" si="11"/>
        <v>27</v>
      </c>
      <c r="E257" s="17" cm="1">
        <f t="array" aca="1" ref="E257" ca="1">ABS(IF(Tabla1[[#This Row],[Bodega]]&gt;0,Tabla1[[#This Row],[Bodega]]*Tabla2[Costo unitario Inventario],Tabla1[[#This Row],[Bodega]]*Tabla2[Costo unitario Deficit]))</f>
        <v>13500</v>
      </c>
      <c r="F257" s="17" cm="1">
        <f t="array" aca="1" ref="F257" ca="1">(Tabla1[[#This Row],[Venta Dia]]*Tabla2[Precio de venta])-(Tabla1[[#This Row],[Venta Dia]]*Tabla2[Costo Produccion])-Tabla1[[#This Row],[Déficit bodega]]</f>
        <v>36500</v>
      </c>
    </row>
    <row r="258" spans="1:6" x14ac:dyDescent="0.2">
      <c r="A258" s="7">
        <v>223</v>
      </c>
      <c r="B258" s="7">
        <f t="shared" ca="1" si="9"/>
        <v>5</v>
      </c>
      <c r="C258" s="7">
        <f t="shared" ca="1" si="10"/>
        <v>4</v>
      </c>
      <c r="D258" s="7">
        <f t="shared" ca="1" si="11"/>
        <v>28</v>
      </c>
      <c r="E258" s="17" cm="1">
        <f t="array" aca="1" ref="E258" ca="1">ABS(IF(Tabla1[[#This Row],[Bodega]]&gt;0,Tabla1[[#This Row],[Bodega]]*Tabla2[Costo unitario Inventario],Tabla1[[#This Row],[Bodega]]*Tabla2[Costo unitario Deficit]))</f>
        <v>14000</v>
      </c>
      <c r="F258" s="17" cm="1">
        <f t="array" aca="1" ref="F258" ca="1">(Tabla1[[#This Row],[Venta Dia]]*Tabla2[Precio de venta])-(Tabla1[[#This Row],[Venta Dia]]*Tabla2[Costo Produccion])-Tabla1[[#This Row],[Déficit bodega]]</f>
        <v>26000</v>
      </c>
    </row>
    <row r="259" spans="1:6" x14ac:dyDescent="0.2">
      <c r="A259" s="7">
        <v>224</v>
      </c>
      <c r="B259" s="7">
        <f t="shared" ca="1" si="9"/>
        <v>5</v>
      </c>
      <c r="C259" s="7">
        <f t="shared" ca="1" si="10"/>
        <v>4</v>
      </c>
      <c r="D259" s="7">
        <f t="shared" ca="1" si="11"/>
        <v>29</v>
      </c>
      <c r="E259" s="17" cm="1">
        <f t="array" aca="1" ref="E259" ca="1">ABS(IF(Tabla1[[#This Row],[Bodega]]&gt;0,Tabla1[[#This Row],[Bodega]]*Tabla2[Costo unitario Inventario],Tabla1[[#This Row],[Bodega]]*Tabla2[Costo unitario Deficit]))</f>
        <v>14500</v>
      </c>
      <c r="F259" s="17" cm="1">
        <f t="array" aca="1" ref="F259" ca="1">(Tabla1[[#This Row],[Venta Dia]]*Tabla2[Precio de venta])-(Tabla1[[#This Row],[Venta Dia]]*Tabla2[Costo Produccion])-Tabla1[[#This Row],[Déficit bodega]]</f>
        <v>25500</v>
      </c>
    </row>
    <row r="260" spans="1:6" x14ac:dyDescent="0.2">
      <c r="A260" s="7">
        <v>225</v>
      </c>
      <c r="B260" s="7">
        <f t="shared" ca="1" si="9"/>
        <v>5</v>
      </c>
      <c r="C260" s="7">
        <f t="shared" ca="1" si="10"/>
        <v>4</v>
      </c>
      <c r="D260" s="7">
        <f t="shared" ca="1" si="11"/>
        <v>30</v>
      </c>
      <c r="E260" s="17" cm="1">
        <f t="array" aca="1" ref="E260" ca="1">ABS(IF(Tabla1[[#This Row],[Bodega]]&gt;0,Tabla1[[#This Row],[Bodega]]*Tabla2[Costo unitario Inventario],Tabla1[[#This Row],[Bodega]]*Tabla2[Costo unitario Deficit]))</f>
        <v>15000</v>
      </c>
      <c r="F260" s="17" cm="1">
        <f t="array" aca="1" ref="F260" ca="1">(Tabla1[[#This Row],[Venta Dia]]*Tabla2[Precio de venta])-(Tabla1[[#This Row],[Venta Dia]]*Tabla2[Costo Produccion])-Tabla1[[#This Row],[Déficit bodega]]</f>
        <v>25000</v>
      </c>
    </row>
    <row r="261" spans="1:6" x14ac:dyDescent="0.2">
      <c r="A261" s="7">
        <v>226</v>
      </c>
      <c r="B261" s="7">
        <f t="shared" ca="1" si="9"/>
        <v>7</v>
      </c>
      <c r="C261" s="7">
        <f t="shared" ca="1" si="10"/>
        <v>4</v>
      </c>
      <c r="D261" s="7">
        <f t="shared" ca="1" si="11"/>
        <v>33</v>
      </c>
      <c r="E261" s="17" cm="1">
        <f t="array" aca="1" ref="E261" ca="1">ABS(IF(Tabla1[[#This Row],[Bodega]]&gt;0,Tabla1[[#This Row],[Bodega]]*Tabla2[Costo unitario Inventario],Tabla1[[#This Row],[Bodega]]*Tabla2[Costo unitario Deficit]))</f>
        <v>16500</v>
      </c>
      <c r="F261" s="17" cm="1">
        <f t="array" aca="1" ref="F261" ca="1">(Tabla1[[#This Row],[Venta Dia]]*Tabla2[Precio de venta])-(Tabla1[[#This Row],[Venta Dia]]*Tabla2[Costo Produccion])-Tabla1[[#This Row],[Déficit bodega]]</f>
        <v>23500</v>
      </c>
    </row>
    <row r="262" spans="1:6" x14ac:dyDescent="0.2">
      <c r="A262" s="7">
        <v>227</v>
      </c>
      <c r="B262" s="7">
        <f t="shared" ca="1" si="9"/>
        <v>6</v>
      </c>
      <c r="C262" s="7">
        <f t="shared" ca="1" si="10"/>
        <v>5</v>
      </c>
      <c r="D262" s="7">
        <f t="shared" ca="1" si="11"/>
        <v>34</v>
      </c>
      <c r="E262" s="17" cm="1">
        <f t="array" aca="1" ref="E262" ca="1">ABS(IF(Tabla1[[#This Row],[Bodega]]&gt;0,Tabla1[[#This Row],[Bodega]]*Tabla2[Costo unitario Inventario],Tabla1[[#This Row],[Bodega]]*Tabla2[Costo unitario Deficit]))</f>
        <v>17000</v>
      </c>
      <c r="F262" s="17" cm="1">
        <f t="array" aca="1" ref="F262" ca="1">(Tabla1[[#This Row],[Venta Dia]]*Tabla2[Precio de venta])-(Tabla1[[#This Row],[Venta Dia]]*Tabla2[Costo Produccion])-Tabla1[[#This Row],[Déficit bodega]]</f>
        <v>33000</v>
      </c>
    </row>
    <row r="263" spans="1:6" x14ac:dyDescent="0.2">
      <c r="A263" s="7">
        <v>228</v>
      </c>
      <c r="B263" s="7">
        <f t="shared" ca="1" si="9"/>
        <v>3</v>
      </c>
      <c r="C263" s="7">
        <f t="shared" ca="1" si="10"/>
        <v>5</v>
      </c>
      <c r="D263" s="7">
        <f t="shared" ca="1" si="11"/>
        <v>32</v>
      </c>
      <c r="E263" s="17" cm="1">
        <f t="array" aca="1" ref="E263" ca="1">ABS(IF(Tabla1[[#This Row],[Bodega]]&gt;0,Tabla1[[#This Row],[Bodega]]*Tabla2[Costo unitario Inventario],Tabla1[[#This Row],[Bodega]]*Tabla2[Costo unitario Deficit]))</f>
        <v>16000</v>
      </c>
      <c r="F263" s="17" cm="1">
        <f t="array" aca="1" ref="F263" ca="1">(Tabla1[[#This Row],[Venta Dia]]*Tabla2[Precio de venta])-(Tabla1[[#This Row],[Venta Dia]]*Tabla2[Costo Produccion])-Tabla1[[#This Row],[Déficit bodega]]</f>
        <v>34000</v>
      </c>
    </row>
    <row r="264" spans="1:6" x14ac:dyDescent="0.2">
      <c r="A264" s="7">
        <v>229</v>
      </c>
      <c r="B264" s="7">
        <f t="shared" ca="1" si="9"/>
        <v>3</v>
      </c>
      <c r="C264" s="7">
        <f t="shared" ca="1" si="10"/>
        <v>4</v>
      </c>
      <c r="D264" s="7">
        <f t="shared" ca="1" si="11"/>
        <v>31</v>
      </c>
      <c r="E264" s="17" cm="1">
        <f t="array" aca="1" ref="E264" ca="1">ABS(IF(Tabla1[[#This Row],[Bodega]]&gt;0,Tabla1[[#This Row],[Bodega]]*Tabla2[Costo unitario Inventario],Tabla1[[#This Row],[Bodega]]*Tabla2[Costo unitario Deficit]))</f>
        <v>15500</v>
      </c>
      <c r="F264" s="17" cm="1">
        <f t="array" aca="1" ref="F264" ca="1">(Tabla1[[#This Row],[Venta Dia]]*Tabla2[Precio de venta])-(Tabla1[[#This Row],[Venta Dia]]*Tabla2[Costo Produccion])-Tabla1[[#This Row],[Déficit bodega]]</f>
        <v>24500</v>
      </c>
    </row>
    <row r="265" spans="1:6" x14ac:dyDescent="0.2">
      <c r="A265" s="7">
        <v>230</v>
      </c>
      <c r="B265" s="7">
        <f t="shared" ca="1" si="9"/>
        <v>4</v>
      </c>
      <c r="C265" s="7">
        <f t="shared" ca="1" si="10"/>
        <v>5</v>
      </c>
      <c r="D265" s="7">
        <f t="shared" ca="1" si="11"/>
        <v>30</v>
      </c>
      <c r="E265" s="17" cm="1">
        <f t="array" aca="1" ref="E265" ca="1">ABS(IF(Tabla1[[#This Row],[Bodega]]&gt;0,Tabla1[[#This Row],[Bodega]]*Tabla2[Costo unitario Inventario],Tabla1[[#This Row],[Bodega]]*Tabla2[Costo unitario Deficit]))</f>
        <v>15000</v>
      </c>
      <c r="F265" s="17" cm="1">
        <f t="array" aca="1" ref="F265" ca="1">(Tabla1[[#This Row],[Venta Dia]]*Tabla2[Precio de venta])-(Tabla1[[#This Row],[Venta Dia]]*Tabla2[Costo Produccion])-Tabla1[[#This Row],[Déficit bodega]]</f>
        <v>35000</v>
      </c>
    </row>
    <row r="266" spans="1:6" x14ac:dyDescent="0.2">
      <c r="A266" s="7">
        <v>231</v>
      </c>
      <c r="B266" s="7">
        <f t="shared" ca="1" si="9"/>
        <v>5</v>
      </c>
      <c r="C266" s="7">
        <f t="shared" ca="1" si="10"/>
        <v>6</v>
      </c>
      <c r="D266" s="7">
        <f t="shared" ca="1" si="11"/>
        <v>29</v>
      </c>
      <c r="E266" s="17" cm="1">
        <f t="array" aca="1" ref="E266" ca="1">ABS(IF(Tabla1[[#This Row],[Bodega]]&gt;0,Tabla1[[#This Row],[Bodega]]*Tabla2[Costo unitario Inventario],Tabla1[[#This Row],[Bodega]]*Tabla2[Costo unitario Deficit]))</f>
        <v>14500</v>
      </c>
      <c r="F266" s="17" cm="1">
        <f t="array" aca="1" ref="F266" ca="1">(Tabla1[[#This Row],[Venta Dia]]*Tabla2[Precio de venta])-(Tabla1[[#This Row],[Venta Dia]]*Tabla2[Costo Produccion])-Tabla1[[#This Row],[Déficit bodega]]</f>
        <v>45500</v>
      </c>
    </row>
    <row r="267" spans="1:6" x14ac:dyDescent="0.2">
      <c r="A267" s="7">
        <v>232</v>
      </c>
      <c r="B267" s="7">
        <f t="shared" ca="1" si="9"/>
        <v>3</v>
      </c>
      <c r="C267" s="7">
        <f t="shared" ca="1" si="10"/>
        <v>5</v>
      </c>
      <c r="D267" s="7">
        <f t="shared" ca="1" si="11"/>
        <v>27</v>
      </c>
      <c r="E267" s="17" cm="1">
        <f t="array" aca="1" ref="E267" ca="1">ABS(IF(Tabla1[[#This Row],[Bodega]]&gt;0,Tabla1[[#This Row],[Bodega]]*Tabla2[Costo unitario Inventario],Tabla1[[#This Row],[Bodega]]*Tabla2[Costo unitario Deficit]))</f>
        <v>13500</v>
      </c>
      <c r="F267" s="17" cm="1">
        <f t="array" aca="1" ref="F267" ca="1">(Tabla1[[#This Row],[Venta Dia]]*Tabla2[Precio de venta])-(Tabla1[[#This Row],[Venta Dia]]*Tabla2[Costo Produccion])-Tabla1[[#This Row],[Déficit bodega]]</f>
        <v>36500</v>
      </c>
    </row>
    <row r="268" spans="1:6" x14ac:dyDescent="0.2">
      <c r="A268" s="7">
        <v>233</v>
      </c>
      <c r="B268" s="7">
        <f t="shared" ca="1" si="9"/>
        <v>4</v>
      </c>
      <c r="C268" s="7">
        <f t="shared" ca="1" si="10"/>
        <v>5</v>
      </c>
      <c r="D268" s="7">
        <f t="shared" ca="1" si="11"/>
        <v>26</v>
      </c>
      <c r="E268" s="17" cm="1">
        <f t="array" aca="1" ref="E268" ca="1">ABS(IF(Tabla1[[#This Row],[Bodega]]&gt;0,Tabla1[[#This Row],[Bodega]]*Tabla2[Costo unitario Inventario],Tabla1[[#This Row],[Bodega]]*Tabla2[Costo unitario Deficit]))</f>
        <v>13000</v>
      </c>
      <c r="F268" s="17" cm="1">
        <f t="array" aca="1" ref="F268" ca="1">(Tabla1[[#This Row],[Venta Dia]]*Tabla2[Precio de venta])-(Tabla1[[#This Row],[Venta Dia]]*Tabla2[Costo Produccion])-Tabla1[[#This Row],[Déficit bodega]]</f>
        <v>37000</v>
      </c>
    </row>
    <row r="269" spans="1:6" x14ac:dyDescent="0.2">
      <c r="A269" s="7">
        <v>234</v>
      </c>
      <c r="B269" s="7">
        <f t="shared" ca="1" si="9"/>
        <v>3</v>
      </c>
      <c r="C269" s="7">
        <f t="shared" ca="1" si="10"/>
        <v>6</v>
      </c>
      <c r="D269" s="7">
        <f t="shared" ca="1" si="11"/>
        <v>23</v>
      </c>
      <c r="E269" s="17" cm="1">
        <f t="array" aca="1" ref="E269" ca="1">ABS(IF(Tabla1[[#This Row],[Bodega]]&gt;0,Tabla1[[#This Row],[Bodega]]*Tabla2[Costo unitario Inventario],Tabla1[[#This Row],[Bodega]]*Tabla2[Costo unitario Deficit]))</f>
        <v>11500</v>
      </c>
      <c r="F269" s="17" cm="1">
        <f t="array" aca="1" ref="F269" ca="1">(Tabla1[[#This Row],[Venta Dia]]*Tabla2[Precio de venta])-(Tabla1[[#This Row],[Venta Dia]]*Tabla2[Costo Produccion])-Tabla1[[#This Row],[Déficit bodega]]</f>
        <v>48500</v>
      </c>
    </row>
    <row r="270" spans="1:6" x14ac:dyDescent="0.2">
      <c r="A270" s="7">
        <v>235</v>
      </c>
      <c r="B270" s="7">
        <f t="shared" ca="1" si="9"/>
        <v>5</v>
      </c>
      <c r="C270" s="7">
        <f t="shared" ca="1" si="10"/>
        <v>5</v>
      </c>
      <c r="D270" s="7">
        <f t="shared" ca="1" si="11"/>
        <v>23</v>
      </c>
      <c r="E270" s="17" cm="1">
        <f t="array" aca="1" ref="E270" ca="1">ABS(IF(Tabla1[[#This Row],[Bodega]]&gt;0,Tabla1[[#This Row],[Bodega]]*Tabla2[Costo unitario Inventario],Tabla1[[#This Row],[Bodega]]*Tabla2[Costo unitario Deficit]))</f>
        <v>11500</v>
      </c>
      <c r="F270" s="17" cm="1">
        <f t="array" aca="1" ref="F270" ca="1">(Tabla1[[#This Row],[Venta Dia]]*Tabla2[Precio de venta])-(Tabla1[[#This Row],[Venta Dia]]*Tabla2[Costo Produccion])-Tabla1[[#This Row],[Déficit bodega]]</f>
        <v>38500</v>
      </c>
    </row>
    <row r="271" spans="1:6" x14ac:dyDescent="0.2">
      <c r="A271" s="7">
        <v>236</v>
      </c>
      <c r="B271" s="7">
        <f t="shared" ca="1" si="9"/>
        <v>5</v>
      </c>
      <c r="C271" s="7">
        <f t="shared" ca="1" si="10"/>
        <v>6</v>
      </c>
      <c r="D271" s="7">
        <f t="shared" ca="1" si="11"/>
        <v>22</v>
      </c>
      <c r="E271" s="17" cm="1">
        <f t="array" aca="1" ref="E271" ca="1">ABS(IF(Tabla1[[#This Row],[Bodega]]&gt;0,Tabla1[[#This Row],[Bodega]]*Tabla2[Costo unitario Inventario],Tabla1[[#This Row],[Bodega]]*Tabla2[Costo unitario Deficit]))</f>
        <v>11000</v>
      </c>
      <c r="F271" s="17" cm="1">
        <f t="array" aca="1" ref="F271" ca="1">(Tabla1[[#This Row],[Venta Dia]]*Tabla2[Precio de venta])-(Tabla1[[#This Row],[Venta Dia]]*Tabla2[Costo Produccion])-Tabla1[[#This Row],[Déficit bodega]]</f>
        <v>49000</v>
      </c>
    </row>
    <row r="272" spans="1:6" x14ac:dyDescent="0.2">
      <c r="A272" s="7">
        <v>237</v>
      </c>
      <c r="B272" s="7">
        <f t="shared" ca="1" si="9"/>
        <v>3</v>
      </c>
      <c r="C272" s="7">
        <f t="shared" ca="1" si="10"/>
        <v>5</v>
      </c>
      <c r="D272" s="7">
        <f t="shared" ca="1" si="11"/>
        <v>20</v>
      </c>
      <c r="E272" s="17" cm="1">
        <f t="array" aca="1" ref="E272" ca="1">ABS(IF(Tabla1[[#This Row],[Bodega]]&gt;0,Tabla1[[#This Row],[Bodega]]*Tabla2[Costo unitario Inventario],Tabla1[[#This Row],[Bodega]]*Tabla2[Costo unitario Deficit]))</f>
        <v>10000</v>
      </c>
      <c r="F272" s="17" cm="1">
        <f t="array" aca="1" ref="F272" ca="1">(Tabla1[[#This Row],[Venta Dia]]*Tabla2[Precio de venta])-(Tabla1[[#This Row],[Venta Dia]]*Tabla2[Costo Produccion])-Tabla1[[#This Row],[Déficit bodega]]</f>
        <v>40000</v>
      </c>
    </row>
    <row r="273" spans="1:6" x14ac:dyDescent="0.2">
      <c r="A273" s="7">
        <v>238</v>
      </c>
      <c r="B273" s="7">
        <f t="shared" ca="1" si="9"/>
        <v>5</v>
      </c>
      <c r="C273" s="7">
        <f t="shared" ca="1" si="10"/>
        <v>5</v>
      </c>
      <c r="D273" s="7">
        <f t="shared" ca="1" si="11"/>
        <v>20</v>
      </c>
      <c r="E273" s="17" cm="1">
        <f t="array" aca="1" ref="E273" ca="1">ABS(IF(Tabla1[[#This Row],[Bodega]]&gt;0,Tabla1[[#This Row],[Bodega]]*Tabla2[Costo unitario Inventario],Tabla1[[#This Row],[Bodega]]*Tabla2[Costo unitario Deficit]))</f>
        <v>10000</v>
      </c>
      <c r="F273" s="17" cm="1">
        <f t="array" aca="1" ref="F273" ca="1">(Tabla1[[#This Row],[Venta Dia]]*Tabla2[Precio de venta])-(Tabla1[[#This Row],[Venta Dia]]*Tabla2[Costo Produccion])-Tabla1[[#This Row],[Déficit bodega]]</f>
        <v>40000</v>
      </c>
    </row>
    <row r="274" spans="1:6" x14ac:dyDescent="0.2">
      <c r="A274" s="7">
        <v>239</v>
      </c>
      <c r="B274" s="7">
        <f t="shared" ca="1" si="9"/>
        <v>7</v>
      </c>
      <c r="C274" s="7">
        <f t="shared" ca="1" si="10"/>
        <v>5</v>
      </c>
      <c r="D274" s="7">
        <f t="shared" ca="1" si="11"/>
        <v>22</v>
      </c>
      <c r="E274" s="17" cm="1">
        <f t="array" aca="1" ref="E274" ca="1">ABS(IF(Tabla1[[#This Row],[Bodega]]&gt;0,Tabla1[[#This Row],[Bodega]]*Tabla2[Costo unitario Inventario],Tabla1[[#This Row],[Bodega]]*Tabla2[Costo unitario Deficit]))</f>
        <v>11000</v>
      </c>
      <c r="F274" s="17" cm="1">
        <f t="array" aca="1" ref="F274" ca="1">(Tabla1[[#This Row],[Venta Dia]]*Tabla2[Precio de venta])-(Tabla1[[#This Row],[Venta Dia]]*Tabla2[Costo Produccion])-Tabla1[[#This Row],[Déficit bodega]]</f>
        <v>39000</v>
      </c>
    </row>
    <row r="275" spans="1:6" x14ac:dyDescent="0.2">
      <c r="A275" s="7">
        <v>240</v>
      </c>
      <c r="B275" s="7">
        <f t="shared" ca="1" si="9"/>
        <v>6</v>
      </c>
      <c r="C275" s="7">
        <f t="shared" ca="1" si="10"/>
        <v>6</v>
      </c>
      <c r="D275" s="7">
        <f t="shared" ca="1" si="11"/>
        <v>22</v>
      </c>
      <c r="E275" s="17" cm="1">
        <f t="array" aca="1" ref="E275" ca="1">ABS(IF(Tabla1[[#This Row],[Bodega]]&gt;0,Tabla1[[#This Row],[Bodega]]*Tabla2[Costo unitario Inventario],Tabla1[[#This Row],[Bodega]]*Tabla2[Costo unitario Deficit]))</f>
        <v>11000</v>
      </c>
      <c r="F275" s="17" cm="1">
        <f t="array" aca="1" ref="F275" ca="1">(Tabla1[[#This Row],[Venta Dia]]*Tabla2[Precio de venta])-(Tabla1[[#This Row],[Venta Dia]]*Tabla2[Costo Produccion])-Tabla1[[#This Row],[Déficit bodega]]</f>
        <v>49000</v>
      </c>
    </row>
    <row r="276" spans="1:6" x14ac:dyDescent="0.2">
      <c r="A276" s="7">
        <v>241</v>
      </c>
      <c r="B276" s="7">
        <f t="shared" ca="1" si="9"/>
        <v>5</v>
      </c>
      <c r="C276" s="7">
        <f t="shared" ca="1" si="10"/>
        <v>5</v>
      </c>
      <c r="D276" s="7">
        <f t="shared" ca="1" si="11"/>
        <v>22</v>
      </c>
      <c r="E276" s="17" cm="1">
        <f t="array" aca="1" ref="E276" ca="1">ABS(IF(Tabla1[[#This Row],[Bodega]]&gt;0,Tabla1[[#This Row],[Bodega]]*Tabla2[Costo unitario Inventario],Tabla1[[#This Row],[Bodega]]*Tabla2[Costo unitario Deficit]))</f>
        <v>11000</v>
      </c>
      <c r="F276" s="17" cm="1">
        <f t="array" aca="1" ref="F276" ca="1">(Tabla1[[#This Row],[Venta Dia]]*Tabla2[Precio de venta])-(Tabla1[[#This Row],[Venta Dia]]*Tabla2[Costo Produccion])-Tabla1[[#This Row],[Déficit bodega]]</f>
        <v>39000</v>
      </c>
    </row>
    <row r="277" spans="1:6" x14ac:dyDescent="0.2">
      <c r="A277" s="7">
        <v>242</v>
      </c>
      <c r="B277" s="7">
        <f t="shared" ca="1" si="9"/>
        <v>4</v>
      </c>
      <c r="C277" s="7">
        <f t="shared" ca="1" si="10"/>
        <v>4</v>
      </c>
      <c r="D277" s="7">
        <f t="shared" ca="1" si="11"/>
        <v>22</v>
      </c>
      <c r="E277" s="17" cm="1">
        <f t="array" aca="1" ref="E277" ca="1">ABS(IF(Tabla1[[#This Row],[Bodega]]&gt;0,Tabla1[[#This Row],[Bodega]]*Tabla2[Costo unitario Inventario],Tabla1[[#This Row],[Bodega]]*Tabla2[Costo unitario Deficit]))</f>
        <v>11000</v>
      </c>
      <c r="F277" s="17" cm="1">
        <f t="array" aca="1" ref="F277" ca="1">(Tabla1[[#This Row],[Venta Dia]]*Tabla2[Precio de venta])-(Tabla1[[#This Row],[Venta Dia]]*Tabla2[Costo Produccion])-Tabla1[[#This Row],[Déficit bodega]]</f>
        <v>29000</v>
      </c>
    </row>
    <row r="278" spans="1:6" x14ac:dyDescent="0.2">
      <c r="A278" s="7">
        <v>243</v>
      </c>
      <c r="B278" s="7">
        <f t="shared" ca="1" si="9"/>
        <v>6</v>
      </c>
      <c r="C278" s="7">
        <f t="shared" ca="1" si="10"/>
        <v>4</v>
      </c>
      <c r="D278" s="7">
        <f t="shared" ca="1" si="11"/>
        <v>24</v>
      </c>
      <c r="E278" s="17" cm="1">
        <f t="array" aca="1" ref="E278" ca="1">ABS(IF(Tabla1[[#This Row],[Bodega]]&gt;0,Tabla1[[#This Row],[Bodega]]*Tabla2[Costo unitario Inventario],Tabla1[[#This Row],[Bodega]]*Tabla2[Costo unitario Deficit]))</f>
        <v>12000</v>
      </c>
      <c r="F278" s="17" cm="1">
        <f t="array" aca="1" ref="F278" ca="1">(Tabla1[[#This Row],[Venta Dia]]*Tabla2[Precio de venta])-(Tabla1[[#This Row],[Venta Dia]]*Tabla2[Costo Produccion])-Tabla1[[#This Row],[Déficit bodega]]</f>
        <v>28000</v>
      </c>
    </row>
    <row r="279" spans="1:6" x14ac:dyDescent="0.2">
      <c r="A279" s="7">
        <v>244</v>
      </c>
      <c r="B279" s="7">
        <f t="shared" ca="1" si="9"/>
        <v>4</v>
      </c>
      <c r="C279" s="7">
        <f t="shared" ca="1" si="10"/>
        <v>5</v>
      </c>
      <c r="D279" s="7">
        <f t="shared" ca="1" si="11"/>
        <v>23</v>
      </c>
      <c r="E279" s="17" cm="1">
        <f t="array" aca="1" ref="E279" ca="1">ABS(IF(Tabla1[[#This Row],[Bodega]]&gt;0,Tabla1[[#This Row],[Bodega]]*Tabla2[Costo unitario Inventario],Tabla1[[#This Row],[Bodega]]*Tabla2[Costo unitario Deficit]))</f>
        <v>11500</v>
      </c>
      <c r="F279" s="17" cm="1">
        <f t="array" aca="1" ref="F279" ca="1">(Tabla1[[#This Row],[Venta Dia]]*Tabla2[Precio de venta])-(Tabla1[[#This Row],[Venta Dia]]*Tabla2[Costo Produccion])-Tabla1[[#This Row],[Déficit bodega]]</f>
        <v>38500</v>
      </c>
    </row>
    <row r="280" spans="1:6" x14ac:dyDescent="0.2">
      <c r="A280" s="7">
        <v>245</v>
      </c>
      <c r="B280" s="7">
        <f t="shared" ca="1" si="9"/>
        <v>6</v>
      </c>
      <c r="C280" s="7">
        <f t="shared" ca="1" si="10"/>
        <v>5</v>
      </c>
      <c r="D280" s="7">
        <f t="shared" ca="1" si="11"/>
        <v>24</v>
      </c>
      <c r="E280" s="17" cm="1">
        <f t="array" aca="1" ref="E280" ca="1">ABS(IF(Tabla1[[#This Row],[Bodega]]&gt;0,Tabla1[[#This Row],[Bodega]]*Tabla2[Costo unitario Inventario],Tabla1[[#This Row],[Bodega]]*Tabla2[Costo unitario Deficit]))</f>
        <v>12000</v>
      </c>
      <c r="F280" s="17" cm="1">
        <f t="array" aca="1" ref="F280" ca="1">(Tabla1[[#This Row],[Venta Dia]]*Tabla2[Precio de venta])-(Tabla1[[#This Row],[Venta Dia]]*Tabla2[Costo Produccion])-Tabla1[[#This Row],[Déficit bodega]]</f>
        <v>38000</v>
      </c>
    </row>
    <row r="281" spans="1:6" x14ac:dyDescent="0.2">
      <c r="A281" s="7">
        <v>246</v>
      </c>
      <c r="B281" s="7">
        <f t="shared" ca="1" si="9"/>
        <v>7</v>
      </c>
      <c r="C281" s="7">
        <f t="shared" ca="1" si="10"/>
        <v>4</v>
      </c>
      <c r="D281" s="7">
        <f t="shared" ca="1" si="11"/>
        <v>27</v>
      </c>
      <c r="E281" s="17" cm="1">
        <f t="array" aca="1" ref="E281" ca="1">ABS(IF(Tabla1[[#This Row],[Bodega]]&gt;0,Tabla1[[#This Row],[Bodega]]*Tabla2[Costo unitario Inventario],Tabla1[[#This Row],[Bodega]]*Tabla2[Costo unitario Deficit]))</f>
        <v>13500</v>
      </c>
      <c r="F281" s="17" cm="1">
        <f t="array" aca="1" ref="F281" ca="1">(Tabla1[[#This Row],[Venta Dia]]*Tabla2[Precio de venta])-(Tabla1[[#This Row],[Venta Dia]]*Tabla2[Costo Produccion])-Tabla1[[#This Row],[Déficit bodega]]</f>
        <v>26500</v>
      </c>
    </row>
    <row r="282" spans="1:6" x14ac:dyDescent="0.2">
      <c r="A282" s="7">
        <v>247</v>
      </c>
      <c r="B282" s="7">
        <f t="shared" ca="1" si="9"/>
        <v>5</v>
      </c>
      <c r="C282" s="7">
        <f t="shared" ca="1" si="10"/>
        <v>6</v>
      </c>
      <c r="D282" s="7">
        <f t="shared" ca="1" si="11"/>
        <v>26</v>
      </c>
      <c r="E282" s="17" cm="1">
        <f t="array" aca="1" ref="E282" ca="1">ABS(IF(Tabla1[[#This Row],[Bodega]]&gt;0,Tabla1[[#This Row],[Bodega]]*Tabla2[Costo unitario Inventario],Tabla1[[#This Row],[Bodega]]*Tabla2[Costo unitario Deficit]))</f>
        <v>13000</v>
      </c>
      <c r="F282" s="17" cm="1">
        <f t="array" aca="1" ref="F282" ca="1">(Tabla1[[#This Row],[Venta Dia]]*Tabla2[Precio de venta])-(Tabla1[[#This Row],[Venta Dia]]*Tabla2[Costo Produccion])-Tabla1[[#This Row],[Déficit bodega]]</f>
        <v>47000</v>
      </c>
    </row>
    <row r="283" spans="1:6" x14ac:dyDescent="0.2">
      <c r="A283" s="7">
        <v>248</v>
      </c>
      <c r="B283" s="7">
        <f t="shared" ca="1" si="9"/>
        <v>5</v>
      </c>
      <c r="C283" s="7">
        <f t="shared" ca="1" si="10"/>
        <v>4</v>
      </c>
      <c r="D283" s="7">
        <f t="shared" ca="1" si="11"/>
        <v>27</v>
      </c>
      <c r="E283" s="17" cm="1">
        <f t="array" aca="1" ref="E283" ca="1">ABS(IF(Tabla1[[#This Row],[Bodega]]&gt;0,Tabla1[[#This Row],[Bodega]]*Tabla2[Costo unitario Inventario],Tabla1[[#This Row],[Bodega]]*Tabla2[Costo unitario Deficit]))</f>
        <v>13500</v>
      </c>
      <c r="F283" s="17" cm="1">
        <f t="array" aca="1" ref="F283" ca="1">(Tabla1[[#This Row],[Venta Dia]]*Tabla2[Precio de venta])-(Tabla1[[#This Row],[Venta Dia]]*Tabla2[Costo Produccion])-Tabla1[[#This Row],[Déficit bodega]]</f>
        <v>26500</v>
      </c>
    </row>
    <row r="284" spans="1:6" x14ac:dyDescent="0.2">
      <c r="A284" s="7">
        <v>249</v>
      </c>
      <c r="B284" s="7">
        <f t="shared" ca="1" si="9"/>
        <v>6</v>
      </c>
      <c r="C284" s="7">
        <f t="shared" ca="1" si="10"/>
        <v>5</v>
      </c>
      <c r="D284" s="7">
        <f t="shared" ca="1" si="11"/>
        <v>28</v>
      </c>
      <c r="E284" s="17" cm="1">
        <f t="array" aca="1" ref="E284" ca="1">ABS(IF(Tabla1[[#This Row],[Bodega]]&gt;0,Tabla1[[#This Row],[Bodega]]*Tabla2[Costo unitario Inventario],Tabla1[[#This Row],[Bodega]]*Tabla2[Costo unitario Deficit]))</f>
        <v>14000</v>
      </c>
      <c r="F284" s="17" cm="1">
        <f t="array" aca="1" ref="F284" ca="1">(Tabla1[[#This Row],[Venta Dia]]*Tabla2[Precio de venta])-(Tabla1[[#This Row],[Venta Dia]]*Tabla2[Costo Produccion])-Tabla1[[#This Row],[Déficit bodega]]</f>
        <v>36000</v>
      </c>
    </row>
    <row r="285" spans="1:6" x14ac:dyDescent="0.2">
      <c r="A285" s="7">
        <v>250</v>
      </c>
      <c r="B285" s="7">
        <f t="shared" ca="1" si="9"/>
        <v>3</v>
      </c>
      <c r="C285" s="7">
        <f t="shared" ca="1" si="10"/>
        <v>4</v>
      </c>
      <c r="D285" s="7">
        <f t="shared" ca="1" si="11"/>
        <v>27</v>
      </c>
      <c r="E285" s="17" cm="1">
        <f t="array" aca="1" ref="E285" ca="1">ABS(IF(Tabla1[[#This Row],[Bodega]]&gt;0,Tabla1[[#This Row],[Bodega]]*Tabla2[Costo unitario Inventario],Tabla1[[#This Row],[Bodega]]*Tabla2[Costo unitario Deficit]))</f>
        <v>13500</v>
      </c>
      <c r="F285" s="17" cm="1">
        <f t="array" aca="1" ref="F285" ca="1">(Tabla1[[#This Row],[Venta Dia]]*Tabla2[Precio de venta])-(Tabla1[[#This Row],[Venta Dia]]*Tabla2[Costo Produccion])-Tabla1[[#This Row],[Déficit bodega]]</f>
        <v>26500</v>
      </c>
    </row>
    <row r="286" spans="1:6" x14ac:dyDescent="0.2">
      <c r="A286" s="7">
        <v>251</v>
      </c>
      <c r="B286" s="7">
        <f t="shared" ca="1" si="9"/>
        <v>5</v>
      </c>
      <c r="C286" s="7">
        <f t="shared" ca="1" si="10"/>
        <v>5</v>
      </c>
      <c r="D286" s="7">
        <f t="shared" ca="1" si="11"/>
        <v>27</v>
      </c>
      <c r="E286" s="17" cm="1">
        <f t="array" aca="1" ref="E286" ca="1">ABS(IF(Tabla1[[#This Row],[Bodega]]&gt;0,Tabla1[[#This Row],[Bodega]]*Tabla2[Costo unitario Inventario],Tabla1[[#This Row],[Bodega]]*Tabla2[Costo unitario Deficit]))</f>
        <v>13500</v>
      </c>
      <c r="F286" s="17" cm="1">
        <f t="array" aca="1" ref="F286" ca="1">(Tabla1[[#This Row],[Venta Dia]]*Tabla2[Precio de venta])-(Tabla1[[#This Row],[Venta Dia]]*Tabla2[Costo Produccion])-Tabla1[[#This Row],[Déficit bodega]]</f>
        <v>36500</v>
      </c>
    </row>
    <row r="287" spans="1:6" x14ac:dyDescent="0.2">
      <c r="A287" s="7">
        <v>252</v>
      </c>
      <c r="B287" s="7">
        <f t="shared" ca="1" si="9"/>
        <v>4</v>
      </c>
      <c r="C287" s="7">
        <f t="shared" ca="1" si="10"/>
        <v>4</v>
      </c>
      <c r="D287" s="7">
        <f t="shared" ca="1" si="11"/>
        <v>27</v>
      </c>
      <c r="E287" s="17" cm="1">
        <f t="array" aca="1" ref="E287" ca="1">ABS(IF(Tabla1[[#This Row],[Bodega]]&gt;0,Tabla1[[#This Row],[Bodega]]*Tabla2[Costo unitario Inventario],Tabla1[[#This Row],[Bodega]]*Tabla2[Costo unitario Deficit]))</f>
        <v>13500</v>
      </c>
      <c r="F287" s="17" cm="1">
        <f t="array" aca="1" ref="F287" ca="1">(Tabla1[[#This Row],[Venta Dia]]*Tabla2[Precio de venta])-(Tabla1[[#This Row],[Venta Dia]]*Tabla2[Costo Produccion])-Tabla1[[#This Row],[Déficit bodega]]</f>
        <v>26500</v>
      </c>
    </row>
    <row r="288" spans="1:6" x14ac:dyDescent="0.2">
      <c r="A288" s="7">
        <v>253</v>
      </c>
      <c r="B288" s="7">
        <f t="shared" ca="1" si="9"/>
        <v>4</v>
      </c>
      <c r="C288" s="7">
        <f t="shared" ca="1" si="10"/>
        <v>4</v>
      </c>
      <c r="D288" s="7">
        <f t="shared" ca="1" si="11"/>
        <v>27</v>
      </c>
      <c r="E288" s="17" cm="1">
        <f t="array" aca="1" ref="E288" ca="1">ABS(IF(Tabla1[[#This Row],[Bodega]]&gt;0,Tabla1[[#This Row],[Bodega]]*Tabla2[Costo unitario Inventario],Tabla1[[#This Row],[Bodega]]*Tabla2[Costo unitario Deficit]))</f>
        <v>13500</v>
      </c>
      <c r="F288" s="17" cm="1">
        <f t="array" aca="1" ref="F288" ca="1">(Tabla1[[#This Row],[Venta Dia]]*Tabla2[Precio de venta])-(Tabla1[[#This Row],[Venta Dia]]*Tabla2[Costo Produccion])-Tabla1[[#This Row],[Déficit bodega]]</f>
        <v>26500</v>
      </c>
    </row>
    <row r="289" spans="1:6" x14ac:dyDescent="0.2">
      <c r="A289" s="7">
        <v>254</v>
      </c>
      <c r="B289" s="7">
        <f t="shared" ca="1" si="9"/>
        <v>4</v>
      </c>
      <c r="C289" s="7">
        <f t="shared" ca="1" si="10"/>
        <v>4</v>
      </c>
      <c r="D289" s="7">
        <f t="shared" ca="1" si="11"/>
        <v>27</v>
      </c>
      <c r="E289" s="17" cm="1">
        <f t="array" aca="1" ref="E289" ca="1">ABS(IF(Tabla1[[#This Row],[Bodega]]&gt;0,Tabla1[[#This Row],[Bodega]]*Tabla2[Costo unitario Inventario],Tabla1[[#This Row],[Bodega]]*Tabla2[Costo unitario Deficit]))</f>
        <v>13500</v>
      </c>
      <c r="F289" s="17" cm="1">
        <f t="array" aca="1" ref="F289" ca="1">(Tabla1[[#This Row],[Venta Dia]]*Tabla2[Precio de venta])-(Tabla1[[#This Row],[Venta Dia]]*Tabla2[Costo Produccion])-Tabla1[[#This Row],[Déficit bodega]]</f>
        <v>26500</v>
      </c>
    </row>
    <row r="290" spans="1:6" x14ac:dyDescent="0.2">
      <c r="A290" s="7">
        <v>255</v>
      </c>
      <c r="B290" s="7">
        <f t="shared" ca="1" si="9"/>
        <v>6</v>
      </c>
      <c r="C290" s="7">
        <f t="shared" ca="1" si="10"/>
        <v>4</v>
      </c>
      <c r="D290" s="7">
        <f t="shared" ca="1" si="11"/>
        <v>29</v>
      </c>
      <c r="E290" s="17" cm="1">
        <f t="array" aca="1" ref="E290" ca="1">ABS(IF(Tabla1[[#This Row],[Bodega]]&gt;0,Tabla1[[#This Row],[Bodega]]*Tabla2[Costo unitario Inventario],Tabla1[[#This Row],[Bodega]]*Tabla2[Costo unitario Deficit]))</f>
        <v>14500</v>
      </c>
      <c r="F290" s="17" cm="1">
        <f t="array" aca="1" ref="F290" ca="1">(Tabla1[[#This Row],[Venta Dia]]*Tabla2[Precio de venta])-(Tabla1[[#This Row],[Venta Dia]]*Tabla2[Costo Produccion])-Tabla1[[#This Row],[Déficit bodega]]</f>
        <v>25500</v>
      </c>
    </row>
    <row r="291" spans="1:6" x14ac:dyDescent="0.2">
      <c r="A291" s="7">
        <v>256</v>
      </c>
      <c r="B291" s="7">
        <f t="shared" ca="1" si="9"/>
        <v>7</v>
      </c>
      <c r="C291" s="7">
        <f t="shared" ca="1" si="10"/>
        <v>5</v>
      </c>
      <c r="D291" s="7">
        <f t="shared" ca="1" si="11"/>
        <v>31</v>
      </c>
      <c r="E291" s="17" cm="1">
        <f t="array" aca="1" ref="E291" ca="1">ABS(IF(Tabla1[[#This Row],[Bodega]]&gt;0,Tabla1[[#This Row],[Bodega]]*Tabla2[Costo unitario Inventario],Tabla1[[#This Row],[Bodega]]*Tabla2[Costo unitario Deficit]))</f>
        <v>15500</v>
      </c>
      <c r="F291" s="17" cm="1">
        <f t="array" aca="1" ref="F291" ca="1">(Tabla1[[#This Row],[Venta Dia]]*Tabla2[Precio de venta])-(Tabla1[[#This Row],[Venta Dia]]*Tabla2[Costo Produccion])-Tabla1[[#This Row],[Déficit bodega]]</f>
        <v>34500</v>
      </c>
    </row>
    <row r="292" spans="1:6" x14ac:dyDescent="0.2">
      <c r="A292" s="7">
        <v>257</v>
      </c>
      <c r="B292" s="7">
        <f t="shared" ref="B292:B355" ca="1" si="12">RANDBETWEEN($A$33,$B$33)</f>
        <v>3</v>
      </c>
      <c r="C292" s="7">
        <f t="shared" ca="1" si="10"/>
        <v>5</v>
      </c>
      <c r="D292" s="7">
        <f t="shared" ca="1" si="11"/>
        <v>29</v>
      </c>
      <c r="E292" s="17" cm="1">
        <f t="array" aca="1" ref="E292" ca="1">ABS(IF(Tabla1[[#This Row],[Bodega]]&gt;0,Tabla1[[#This Row],[Bodega]]*Tabla2[Costo unitario Inventario],Tabla1[[#This Row],[Bodega]]*Tabla2[Costo unitario Deficit]))</f>
        <v>14500</v>
      </c>
      <c r="F292" s="17" cm="1">
        <f t="array" aca="1" ref="F292" ca="1">(Tabla1[[#This Row],[Venta Dia]]*Tabla2[Precio de venta])-(Tabla1[[#This Row],[Venta Dia]]*Tabla2[Costo Produccion])-Tabla1[[#This Row],[Déficit bodega]]</f>
        <v>35500</v>
      </c>
    </row>
    <row r="293" spans="1:6" x14ac:dyDescent="0.2">
      <c r="A293" s="7">
        <v>258</v>
      </c>
      <c r="B293" s="7">
        <f t="shared" ca="1" si="12"/>
        <v>6</v>
      </c>
      <c r="C293" s="7">
        <f t="shared" ref="C293:C356" ca="1" si="13">IF(RAND()&gt;=0.5,5,IF(RAND()&gt;=0.2,4,6))</f>
        <v>4</v>
      </c>
      <c r="D293" s="7">
        <f t="shared" ca="1" si="11"/>
        <v>31</v>
      </c>
      <c r="E293" s="17" cm="1">
        <f t="array" aca="1" ref="E293" ca="1">ABS(IF(Tabla1[[#This Row],[Bodega]]&gt;0,Tabla1[[#This Row],[Bodega]]*Tabla2[Costo unitario Inventario],Tabla1[[#This Row],[Bodega]]*Tabla2[Costo unitario Deficit]))</f>
        <v>15500</v>
      </c>
      <c r="F293" s="17" cm="1">
        <f t="array" aca="1" ref="F293" ca="1">(Tabla1[[#This Row],[Venta Dia]]*Tabla2[Precio de venta])-(Tabla1[[#This Row],[Venta Dia]]*Tabla2[Costo Produccion])-Tabla1[[#This Row],[Déficit bodega]]</f>
        <v>24500</v>
      </c>
    </row>
    <row r="294" spans="1:6" x14ac:dyDescent="0.2">
      <c r="A294" s="7">
        <v>259</v>
      </c>
      <c r="B294" s="7">
        <f t="shared" ca="1" si="12"/>
        <v>6</v>
      </c>
      <c r="C294" s="7">
        <f t="shared" ca="1" si="13"/>
        <v>5</v>
      </c>
      <c r="D294" s="7">
        <f t="shared" ref="D294:D357" ca="1" si="14">D293+B294-C294</f>
        <v>32</v>
      </c>
      <c r="E294" s="17" cm="1">
        <f t="array" aca="1" ref="E294" ca="1">ABS(IF(Tabla1[[#This Row],[Bodega]]&gt;0,Tabla1[[#This Row],[Bodega]]*Tabla2[Costo unitario Inventario],Tabla1[[#This Row],[Bodega]]*Tabla2[Costo unitario Deficit]))</f>
        <v>16000</v>
      </c>
      <c r="F294" s="17" cm="1">
        <f t="array" aca="1" ref="F294" ca="1">(Tabla1[[#This Row],[Venta Dia]]*Tabla2[Precio de venta])-(Tabla1[[#This Row],[Venta Dia]]*Tabla2[Costo Produccion])-Tabla1[[#This Row],[Déficit bodega]]</f>
        <v>34000</v>
      </c>
    </row>
    <row r="295" spans="1:6" x14ac:dyDescent="0.2">
      <c r="A295" s="7">
        <v>260</v>
      </c>
      <c r="B295" s="7">
        <f t="shared" ca="1" si="12"/>
        <v>7</v>
      </c>
      <c r="C295" s="7">
        <f t="shared" ca="1" si="13"/>
        <v>5</v>
      </c>
      <c r="D295" s="7">
        <f t="shared" ca="1" si="14"/>
        <v>34</v>
      </c>
      <c r="E295" s="17" cm="1">
        <f t="array" aca="1" ref="E295" ca="1">ABS(IF(Tabla1[[#This Row],[Bodega]]&gt;0,Tabla1[[#This Row],[Bodega]]*Tabla2[Costo unitario Inventario],Tabla1[[#This Row],[Bodega]]*Tabla2[Costo unitario Deficit]))</f>
        <v>17000</v>
      </c>
      <c r="F295" s="17" cm="1">
        <f t="array" aca="1" ref="F295" ca="1">(Tabla1[[#This Row],[Venta Dia]]*Tabla2[Precio de venta])-(Tabla1[[#This Row],[Venta Dia]]*Tabla2[Costo Produccion])-Tabla1[[#This Row],[Déficit bodega]]</f>
        <v>33000</v>
      </c>
    </row>
    <row r="296" spans="1:6" x14ac:dyDescent="0.2">
      <c r="A296" s="7">
        <v>261</v>
      </c>
      <c r="B296" s="7">
        <f t="shared" ca="1" si="12"/>
        <v>6</v>
      </c>
      <c r="C296" s="7">
        <f t="shared" ca="1" si="13"/>
        <v>4</v>
      </c>
      <c r="D296" s="7">
        <f t="shared" ca="1" si="14"/>
        <v>36</v>
      </c>
      <c r="E296" s="17" cm="1">
        <f t="array" aca="1" ref="E296" ca="1">ABS(IF(Tabla1[[#This Row],[Bodega]]&gt;0,Tabla1[[#This Row],[Bodega]]*Tabla2[Costo unitario Inventario],Tabla1[[#This Row],[Bodega]]*Tabla2[Costo unitario Deficit]))</f>
        <v>18000</v>
      </c>
      <c r="F296" s="17" cm="1">
        <f t="array" aca="1" ref="F296" ca="1">(Tabla1[[#This Row],[Venta Dia]]*Tabla2[Precio de venta])-(Tabla1[[#This Row],[Venta Dia]]*Tabla2[Costo Produccion])-Tabla1[[#This Row],[Déficit bodega]]</f>
        <v>22000</v>
      </c>
    </row>
    <row r="297" spans="1:6" x14ac:dyDescent="0.2">
      <c r="A297" s="7">
        <v>262</v>
      </c>
      <c r="B297" s="7">
        <f t="shared" ca="1" si="12"/>
        <v>5</v>
      </c>
      <c r="C297" s="7">
        <f t="shared" ca="1" si="13"/>
        <v>4</v>
      </c>
      <c r="D297" s="7">
        <f t="shared" ca="1" si="14"/>
        <v>37</v>
      </c>
      <c r="E297" s="17" cm="1">
        <f t="array" aca="1" ref="E297" ca="1">ABS(IF(Tabla1[[#This Row],[Bodega]]&gt;0,Tabla1[[#This Row],[Bodega]]*Tabla2[Costo unitario Inventario],Tabla1[[#This Row],[Bodega]]*Tabla2[Costo unitario Deficit]))</f>
        <v>18500</v>
      </c>
      <c r="F297" s="17" cm="1">
        <f t="array" aca="1" ref="F297" ca="1">(Tabla1[[#This Row],[Venta Dia]]*Tabla2[Precio de venta])-(Tabla1[[#This Row],[Venta Dia]]*Tabla2[Costo Produccion])-Tabla1[[#This Row],[Déficit bodega]]</f>
        <v>21500</v>
      </c>
    </row>
    <row r="298" spans="1:6" x14ac:dyDescent="0.2">
      <c r="A298" s="7">
        <v>263</v>
      </c>
      <c r="B298" s="7">
        <f t="shared" ca="1" si="12"/>
        <v>5</v>
      </c>
      <c r="C298" s="7">
        <f t="shared" ca="1" si="13"/>
        <v>4</v>
      </c>
      <c r="D298" s="7">
        <f t="shared" ca="1" si="14"/>
        <v>38</v>
      </c>
      <c r="E298" s="17" cm="1">
        <f t="array" aca="1" ref="E298" ca="1">ABS(IF(Tabla1[[#This Row],[Bodega]]&gt;0,Tabla1[[#This Row],[Bodega]]*Tabla2[Costo unitario Inventario],Tabla1[[#This Row],[Bodega]]*Tabla2[Costo unitario Deficit]))</f>
        <v>19000</v>
      </c>
      <c r="F298" s="17" cm="1">
        <f t="array" aca="1" ref="F298" ca="1">(Tabla1[[#This Row],[Venta Dia]]*Tabla2[Precio de venta])-(Tabla1[[#This Row],[Venta Dia]]*Tabla2[Costo Produccion])-Tabla1[[#This Row],[Déficit bodega]]</f>
        <v>21000</v>
      </c>
    </row>
    <row r="299" spans="1:6" x14ac:dyDescent="0.2">
      <c r="A299" s="7">
        <v>264</v>
      </c>
      <c r="B299" s="7">
        <f t="shared" ca="1" si="12"/>
        <v>4</v>
      </c>
      <c r="C299" s="7">
        <f t="shared" ca="1" si="13"/>
        <v>4</v>
      </c>
      <c r="D299" s="7">
        <f t="shared" ca="1" si="14"/>
        <v>38</v>
      </c>
      <c r="E299" s="17" cm="1">
        <f t="array" aca="1" ref="E299" ca="1">ABS(IF(Tabla1[[#This Row],[Bodega]]&gt;0,Tabla1[[#This Row],[Bodega]]*Tabla2[Costo unitario Inventario],Tabla1[[#This Row],[Bodega]]*Tabla2[Costo unitario Deficit]))</f>
        <v>19000</v>
      </c>
      <c r="F299" s="17" cm="1">
        <f t="array" aca="1" ref="F299" ca="1">(Tabla1[[#This Row],[Venta Dia]]*Tabla2[Precio de venta])-(Tabla1[[#This Row],[Venta Dia]]*Tabla2[Costo Produccion])-Tabla1[[#This Row],[Déficit bodega]]</f>
        <v>21000</v>
      </c>
    </row>
    <row r="300" spans="1:6" x14ac:dyDescent="0.2">
      <c r="A300" s="7">
        <v>265</v>
      </c>
      <c r="B300" s="7">
        <f t="shared" ca="1" si="12"/>
        <v>6</v>
      </c>
      <c r="C300" s="7">
        <f t="shared" ca="1" si="13"/>
        <v>5</v>
      </c>
      <c r="D300" s="7">
        <f t="shared" ca="1" si="14"/>
        <v>39</v>
      </c>
      <c r="E300" s="17" cm="1">
        <f t="array" aca="1" ref="E300" ca="1">ABS(IF(Tabla1[[#This Row],[Bodega]]&gt;0,Tabla1[[#This Row],[Bodega]]*Tabla2[Costo unitario Inventario],Tabla1[[#This Row],[Bodega]]*Tabla2[Costo unitario Deficit]))</f>
        <v>19500</v>
      </c>
      <c r="F300" s="17" cm="1">
        <f t="array" aca="1" ref="F300" ca="1">(Tabla1[[#This Row],[Venta Dia]]*Tabla2[Precio de venta])-(Tabla1[[#This Row],[Venta Dia]]*Tabla2[Costo Produccion])-Tabla1[[#This Row],[Déficit bodega]]</f>
        <v>30500</v>
      </c>
    </row>
    <row r="301" spans="1:6" x14ac:dyDescent="0.2">
      <c r="A301" s="7">
        <v>266</v>
      </c>
      <c r="B301" s="7">
        <f t="shared" ca="1" si="12"/>
        <v>6</v>
      </c>
      <c r="C301" s="7">
        <f t="shared" ca="1" si="13"/>
        <v>4</v>
      </c>
      <c r="D301" s="7">
        <f t="shared" ca="1" si="14"/>
        <v>41</v>
      </c>
      <c r="E301" s="17" cm="1">
        <f t="array" aca="1" ref="E301" ca="1">ABS(IF(Tabla1[[#This Row],[Bodega]]&gt;0,Tabla1[[#This Row],[Bodega]]*Tabla2[Costo unitario Inventario],Tabla1[[#This Row],[Bodega]]*Tabla2[Costo unitario Deficit]))</f>
        <v>20500</v>
      </c>
      <c r="F301" s="17" cm="1">
        <f t="array" aca="1" ref="F301" ca="1">(Tabla1[[#This Row],[Venta Dia]]*Tabla2[Precio de venta])-(Tabla1[[#This Row],[Venta Dia]]*Tabla2[Costo Produccion])-Tabla1[[#This Row],[Déficit bodega]]</f>
        <v>19500</v>
      </c>
    </row>
    <row r="302" spans="1:6" x14ac:dyDescent="0.2">
      <c r="A302" s="7">
        <v>267</v>
      </c>
      <c r="B302" s="7">
        <f t="shared" ca="1" si="12"/>
        <v>5</v>
      </c>
      <c r="C302" s="7">
        <f t="shared" ca="1" si="13"/>
        <v>4</v>
      </c>
      <c r="D302" s="7">
        <f t="shared" ca="1" si="14"/>
        <v>42</v>
      </c>
      <c r="E302" s="17" cm="1">
        <f t="array" aca="1" ref="E302" ca="1">ABS(IF(Tabla1[[#This Row],[Bodega]]&gt;0,Tabla1[[#This Row],[Bodega]]*Tabla2[Costo unitario Inventario],Tabla1[[#This Row],[Bodega]]*Tabla2[Costo unitario Deficit]))</f>
        <v>21000</v>
      </c>
      <c r="F302" s="17" cm="1">
        <f t="array" aca="1" ref="F302" ca="1">(Tabla1[[#This Row],[Venta Dia]]*Tabla2[Precio de venta])-(Tabla1[[#This Row],[Venta Dia]]*Tabla2[Costo Produccion])-Tabla1[[#This Row],[Déficit bodega]]</f>
        <v>19000</v>
      </c>
    </row>
    <row r="303" spans="1:6" x14ac:dyDescent="0.2">
      <c r="A303" s="7">
        <v>268</v>
      </c>
      <c r="B303" s="7">
        <f t="shared" ca="1" si="12"/>
        <v>4</v>
      </c>
      <c r="C303" s="7">
        <f t="shared" ca="1" si="13"/>
        <v>4</v>
      </c>
      <c r="D303" s="7">
        <f t="shared" ca="1" si="14"/>
        <v>42</v>
      </c>
      <c r="E303" s="17" cm="1">
        <f t="array" aca="1" ref="E303" ca="1">ABS(IF(Tabla1[[#This Row],[Bodega]]&gt;0,Tabla1[[#This Row],[Bodega]]*Tabla2[Costo unitario Inventario],Tabla1[[#This Row],[Bodega]]*Tabla2[Costo unitario Deficit]))</f>
        <v>21000</v>
      </c>
      <c r="F303" s="17" cm="1">
        <f t="array" aca="1" ref="F303" ca="1">(Tabla1[[#This Row],[Venta Dia]]*Tabla2[Precio de venta])-(Tabla1[[#This Row],[Venta Dia]]*Tabla2[Costo Produccion])-Tabla1[[#This Row],[Déficit bodega]]</f>
        <v>19000</v>
      </c>
    </row>
    <row r="304" spans="1:6" x14ac:dyDescent="0.2">
      <c r="A304" s="7">
        <v>269</v>
      </c>
      <c r="B304" s="7">
        <f t="shared" ca="1" si="12"/>
        <v>5</v>
      </c>
      <c r="C304" s="7">
        <f t="shared" ca="1" si="13"/>
        <v>5</v>
      </c>
      <c r="D304" s="7">
        <f t="shared" ca="1" si="14"/>
        <v>42</v>
      </c>
      <c r="E304" s="17" cm="1">
        <f t="array" aca="1" ref="E304" ca="1">ABS(IF(Tabla1[[#This Row],[Bodega]]&gt;0,Tabla1[[#This Row],[Bodega]]*Tabla2[Costo unitario Inventario],Tabla1[[#This Row],[Bodega]]*Tabla2[Costo unitario Deficit]))</f>
        <v>21000</v>
      </c>
      <c r="F304" s="17" cm="1">
        <f t="array" aca="1" ref="F304" ca="1">(Tabla1[[#This Row],[Venta Dia]]*Tabla2[Precio de venta])-(Tabla1[[#This Row],[Venta Dia]]*Tabla2[Costo Produccion])-Tabla1[[#This Row],[Déficit bodega]]</f>
        <v>29000</v>
      </c>
    </row>
    <row r="305" spans="1:6" x14ac:dyDescent="0.2">
      <c r="A305" s="7">
        <v>270</v>
      </c>
      <c r="B305" s="7">
        <f t="shared" ca="1" si="12"/>
        <v>5</v>
      </c>
      <c r="C305" s="7">
        <f t="shared" ca="1" si="13"/>
        <v>5</v>
      </c>
      <c r="D305" s="7">
        <f t="shared" ca="1" si="14"/>
        <v>42</v>
      </c>
      <c r="E305" s="17" cm="1">
        <f t="array" aca="1" ref="E305" ca="1">ABS(IF(Tabla1[[#This Row],[Bodega]]&gt;0,Tabla1[[#This Row],[Bodega]]*Tabla2[Costo unitario Inventario],Tabla1[[#This Row],[Bodega]]*Tabla2[Costo unitario Deficit]))</f>
        <v>21000</v>
      </c>
      <c r="F305" s="17" cm="1">
        <f t="array" aca="1" ref="F305" ca="1">(Tabla1[[#This Row],[Venta Dia]]*Tabla2[Precio de venta])-(Tabla1[[#This Row],[Venta Dia]]*Tabla2[Costo Produccion])-Tabla1[[#This Row],[Déficit bodega]]</f>
        <v>29000</v>
      </c>
    </row>
    <row r="306" spans="1:6" x14ac:dyDescent="0.2">
      <c r="A306" s="7">
        <v>271</v>
      </c>
      <c r="B306" s="7">
        <f t="shared" ca="1" si="12"/>
        <v>7</v>
      </c>
      <c r="C306" s="7">
        <f t="shared" ca="1" si="13"/>
        <v>5</v>
      </c>
      <c r="D306" s="7">
        <f t="shared" ca="1" si="14"/>
        <v>44</v>
      </c>
      <c r="E306" s="17" cm="1">
        <f t="array" aca="1" ref="E306" ca="1">ABS(IF(Tabla1[[#This Row],[Bodega]]&gt;0,Tabla1[[#This Row],[Bodega]]*Tabla2[Costo unitario Inventario],Tabla1[[#This Row],[Bodega]]*Tabla2[Costo unitario Deficit]))</f>
        <v>22000</v>
      </c>
      <c r="F306" s="17" cm="1">
        <f t="array" aca="1" ref="F306" ca="1">(Tabla1[[#This Row],[Venta Dia]]*Tabla2[Precio de venta])-(Tabla1[[#This Row],[Venta Dia]]*Tabla2[Costo Produccion])-Tabla1[[#This Row],[Déficit bodega]]</f>
        <v>28000</v>
      </c>
    </row>
    <row r="307" spans="1:6" x14ac:dyDescent="0.2">
      <c r="A307" s="7">
        <v>272</v>
      </c>
      <c r="B307" s="7">
        <f t="shared" ca="1" si="12"/>
        <v>3</v>
      </c>
      <c r="C307" s="7">
        <f t="shared" ca="1" si="13"/>
        <v>4</v>
      </c>
      <c r="D307" s="7">
        <f t="shared" ca="1" si="14"/>
        <v>43</v>
      </c>
      <c r="E307" s="17" cm="1">
        <f t="array" aca="1" ref="E307" ca="1">ABS(IF(Tabla1[[#This Row],[Bodega]]&gt;0,Tabla1[[#This Row],[Bodega]]*Tabla2[Costo unitario Inventario],Tabla1[[#This Row],[Bodega]]*Tabla2[Costo unitario Deficit]))</f>
        <v>21500</v>
      </c>
      <c r="F307" s="17" cm="1">
        <f t="array" aca="1" ref="F307" ca="1">(Tabla1[[#This Row],[Venta Dia]]*Tabla2[Precio de venta])-(Tabla1[[#This Row],[Venta Dia]]*Tabla2[Costo Produccion])-Tabla1[[#This Row],[Déficit bodega]]</f>
        <v>18500</v>
      </c>
    </row>
    <row r="308" spans="1:6" x14ac:dyDescent="0.2">
      <c r="A308" s="7">
        <v>273</v>
      </c>
      <c r="B308" s="7">
        <f t="shared" ca="1" si="12"/>
        <v>5</v>
      </c>
      <c r="C308" s="7">
        <f t="shared" ca="1" si="13"/>
        <v>5</v>
      </c>
      <c r="D308" s="7">
        <f t="shared" ca="1" si="14"/>
        <v>43</v>
      </c>
      <c r="E308" s="17" cm="1">
        <f t="array" aca="1" ref="E308" ca="1">ABS(IF(Tabla1[[#This Row],[Bodega]]&gt;0,Tabla1[[#This Row],[Bodega]]*Tabla2[Costo unitario Inventario],Tabla1[[#This Row],[Bodega]]*Tabla2[Costo unitario Deficit]))</f>
        <v>21500</v>
      </c>
      <c r="F308" s="17" cm="1">
        <f t="array" aca="1" ref="F308" ca="1">(Tabla1[[#This Row],[Venta Dia]]*Tabla2[Precio de venta])-(Tabla1[[#This Row],[Venta Dia]]*Tabla2[Costo Produccion])-Tabla1[[#This Row],[Déficit bodega]]</f>
        <v>28500</v>
      </c>
    </row>
    <row r="309" spans="1:6" x14ac:dyDescent="0.2">
      <c r="A309" s="7">
        <v>274</v>
      </c>
      <c r="B309" s="7">
        <f t="shared" ca="1" si="12"/>
        <v>6</v>
      </c>
      <c r="C309" s="7">
        <f t="shared" ca="1" si="13"/>
        <v>5</v>
      </c>
      <c r="D309" s="7">
        <f t="shared" ca="1" si="14"/>
        <v>44</v>
      </c>
      <c r="E309" s="17" cm="1">
        <f t="array" aca="1" ref="E309" ca="1">ABS(IF(Tabla1[[#This Row],[Bodega]]&gt;0,Tabla1[[#This Row],[Bodega]]*Tabla2[Costo unitario Inventario],Tabla1[[#This Row],[Bodega]]*Tabla2[Costo unitario Deficit]))</f>
        <v>22000</v>
      </c>
      <c r="F309" s="17" cm="1">
        <f t="array" aca="1" ref="F309" ca="1">(Tabla1[[#This Row],[Venta Dia]]*Tabla2[Precio de venta])-(Tabla1[[#This Row],[Venta Dia]]*Tabla2[Costo Produccion])-Tabla1[[#This Row],[Déficit bodega]]</f>
        <v>28000</v>
      </c>
    </row>
    <row r="310" spans="1:6" x14ac:dyDescent="0.2">
      <c r="A310" s="7">
        <v>275</v>
      </c>
      <c r="B310" s="7">
        <f t="shared" ca="1" si="12"/>
        <v>5</v>
      </c>
      <c r="C310" s="7">
        <f t="shared" ca="1" si="13"/>
        <v>5</v>
      </c>
      <c r="D310" s="7">
        <f t="shared" ca="1" si="14"/>
        <v>44</v>
      </c>
      <c r="E310" s="17" cm="1">
        <f t="array" aca="1" ref="E310" ca="1">ABS(IF(Tabla1[[#This Row],[Bodega]]&gt;0,Tabla1[[#This Row],[Bodega]]*Tabla2[Costo unitario Inventario],Tabla1[[#This Row],[Bodega]]*Tabla2[Costo unitario Deficit]))</f>
        <v>22000</v>
      </c>
      <c r="F310" s="17" cm="1">
        <f t="array" aca="1" ref="F310" ca="1">(Tabla1[[#This Row],[Venta Dia]]*Tabla2[Precio de venta])-(Tabla1[[#This Row],[Venta Dia]]*Tabla2[Costo Produccion])-Tabla1[[#This Row],[Déficit bodega]]</f>
        <v>28000</v>
      </c>
    </row>
    <row r="311" spans="1:6" x14ac:dyDescent="0.2">
      <c r="A311" s="7">
        <v>276</v>
      </c>
      <c r="B311" s="7">
        <f t="shared" ca="1" si="12"/>
        <v>4</v>
      </c>
      <c r="C311" s="7">
        <f t="shared" ca="1" si="13"/>
        <v>5</v>
      </c>
      <c r="D311" s="7">
        <f t="shared" ca="1" si="14"/>
        <v>43</v>
      </c>
      <c r="E311" s="17" cm="1">
        <f t="array" aca="1" ref="E311" ca="1">ABS(IF(Tabla1[[#This Row],[Bodega]]&gt;0,Tabla1[[#This Row],[Bodega]]*Tabla2[Costo unitario Inventario],Tabla1[[#This Row],[Bodega]]*Tabla2[Costo unitario Deficit]))</f>
        <v>21500</v>
      </c>
      <c r="F311" s="17" cm="1">
        <f t="array" aca="1" ref="F311" ca="1">(Tabla1[[#This Row],[Venta Dia]]*Tabla2[Precio de venta])-(Tabla1[[#This Row],[Venta Dia]]*Tabla2[Costo Produccion])-Tabla1[[#This Row],[Déficit bodega]]</f>
        <v>28500</v>
      </c>
    </row>
    <row r="312" spans="1:6" x14ac:dyDescent="0.2">
      <c r="A312" s="7">
        <v>277</v>
      </c>
      <c r="B312" s="7">
        <f t="shared" ca="1" si="12"/>
        <v>3</v>
      </c>
      <c r="C312" s="7">
        <f t="shared" ca="1" si="13"/>
        <v>5</v>
      </c>
      <c r="D312" s="7">
        <f t="shared" ca="1" si="14"/>
        <v>41</v>
      </c>
      <c r="E312" s="17" cm="1">
        <f t="array" aca="1" ref="E312" ca="1">ABS(IF(Tabla1[[#This Row],[Bodega]]&gt;0,Tabla1[[#This Row],[Bodega]]*Tabla2[Costo unitario Inventario],Tabla1[[#This Row],[Bodega]]*Tabla2[Costo unitario Deficit]))</f>
        <v>20500</v>
      </c>
      <c r="F312" s="17" cm="1">
        <f t="array" aca="1" ref="F312" ca="1">(Tabla1[[#This Row],[Venta Dia]]*Tabla2[Precio de venta])-(Tabla1[[#This Row],[Venta Dia]]*Tabla2[Costo Produccion])-Tabla1[[#This Row],[Déficit bodega]]</f>
        <v>29500</v>
      </c>
    </row>
    <row r="313" spans="1:6" x14ac:dyDescent="0.2">
      <c r="A313" s="7">
        <v>278</v>
      </c>
      <c r="B313" s="7">
        <f t="shared" ca="1" si="12"/>
        <v>6</v>
      </c>
      <c r="C313" s="7">
        <f t="shared" ca="1" si="13"/>
        <v>6</v>
      </c>
      <c r="D313" s="7">
        <f t="shared" ca="1" si="14"/>
        <v>41</v>
      </c>
      <c r="E313" s="17" cm="1">
        <f t="array" aca="1" ref="E313" ca="1">ABS(IF(Tabla1[[#This Row],[Bodega]]&gt;0,Tabla1[[#This Row],[Bodega]]*Tabla2[Costo unitario Inventario],Tabla1[[#This Row],[Bodega]]*Tabla2[Costo unitario Deficit]))</f>
        <v>20500</v>
      </c>
      <c r="F313" s="17" cm="1">
        <f t="array" aca="1" ref="F313" ca="1">(Tabla1[[#This Row],[Venta Dia]]*Tabla2[Precio de venta])-(Tabla1[[#This Row],[Venta Dia]]*Tabla2[Costo Produccion])-Tabla1[[#This Row],[Déficit bodega]]</f>
        <v>39500</v>
      </c>
    </row>
    <row r="314" spans="1:6" x14ac:dyDescent="0.2">
      <c r="A314" s="7">
        <v>279</v>
      </c>
      <c r="B314" s="7">
        <f t="shared" ca="1" si="12"/>
        <v>3</v>
      </c>
      <c r="C314" s="7">
        <f t="shared" ca="1" si="13"/>
        <v>6</v>
      </c>
      <c r="D314" s="7">
        <f t="shared" ca="1" si="14"/>
        <v>38</v>
      </c>
      <c r="E314" s="17" cm="1">
        <f t="array" aca="1" ref="E314" ca="1">ABS(IF(Tabla1[[#This Row],[Bodega]]&gt;0,Tabla1[[#This Row],[Bodega]]*Tabla2[Costo unitario Inventario],Tabla1[[#This Row],[Bodega]]*Tabla2[Costo unitario Deficit]))</f>
        <v>19000</v>
      </c>
      <c r="F314" s="17" cm="1">
        <f t="array" aca="1" ref="F314" ca="1">(Tabla1[[#This Row],[Venta Dia]]*Tabla2[Precio de venta])-(Tabla1[[#This Row],[Venta Dia]]*Tabla2[Costo Produccion])-Tabla1[[#This Row],[Déficit bodega]]</f>
        <v>41000</v>
      </c>
    </row>
    <row r="315" spans="1:6" x14ac:dyDescent="0.2">
      <c r="A315" s="7">
        <v>280</v>
      </c>
      <c r="B315" s="7">
        <f t="shared" ca="1" si="12"/>
        <v>5</v>
      </c>
      <c r="C315" s="7">
        <f t="shared" ca="1" si="13"/>
        <v>5</v>
      </c>
      <c r="D315" s="7">
        <f t="shared" ca="1" si="14"/>
        <v>38</v>
      </c>
      <c r="E315" s="17" cm="1">
        <f t="array" aca="1" ref="E315" ca="1">ABS(IF(Tabla1[[#This Row],[Bodega]]&gt;0,Tabla1[[#This Row],[Bodega]]*Tabla2[Costo unitario Inventario],Tabla1[[#This Row],[Bodega]]*Tabla2[Costo unitario Deficit]))</f>
        <v>19000</v>
      </c>
      <c r="F315" s="17" cm="1">
        <f t="array" aca="1" ref="F315" ca="1">(Tabla1[[#This Row],[Venta Dia]]*Tabla2[Precio de venta])-(Tabla1[[#This Row],[Venta Dia]]*Tabla2[Costo Produccion])-Tabla1[[#This Row],[Déficit bodega]]</f>
        <v>31000</v>
      </c>
    </row>
    <row r="316" spans="1:6" x14ac:dyDescent="0.2">
      <c r="A316" s="7">
        <v>281</v>
      </c>
      <c r="B316" s="7">
        <f t="shared" ca="1" si="12"/>
        <v>6</v>
      </c>
      <c r="C316" s="7">
        <f t="shared" ca="1" si="13"/>
        <v>4</v>
      </c>
      <c r="D316" s="7">
        <f t="shared" ca="1" si="14"/>
        <v>40</v>
      </c>
      <c r="E316" s="17" cm="1">
        <f t="array" aca="1" ref="E316" ca="1">ABS(IF(Tabla1[[#This Row],[Bodega]]&gt;0,Tabla1[[#This Row],[Bodega]]*Tabla2[Costo unitario Inventario],Tabla1[[#This Row],[Bodega]]*Tabla2[Costo unitario Deficit]))</f>
        <v>20000</v>
      </c>
      <c r="F316" s="17" cm="1">
        <f t="array" aca="1" ref="F316" ca="1">(Tabla1[[#This Row],[Venta Dia]]*Tabla2[Precio de venta])-(Tabla1[[#This Row],[Venta Dia]]*Tabla2[Costo Produccion])-Tabla1[[#This Row],[Déficit bodega]]</f>
        <v>20000</v>
      </c>
    </row>
    <row r="317" spans="1:6" x14ac:dyDescent="0.2">
      <c r="A317" s="7">
        <v>282</v>
      </c>
      <c r="B317" s="7">
        <f t="shared" ca="1" si="12"/>
        <v>3</v>
      </c>
      <c r="C317" s="7">
        <f t="shared" ca="1" si="13"/>
        <v>5</v>
      </c>
      <c r="D317" s="7">
        <f t="shared" ca="1" si="14"/>
        <v>38</v>
      </c>
      <c r="E317" s="17" cm="1">
        <f t="array" aca="1" ref="E317" ca="1">ABS(IF(Tabla1[[#This Row],[Bodega]]&gt;0,Tabla1[[#This Row],[Bodega]]*Tabla2[Costo unitario Inventario],Tabla1[[#This Row],[Bodega]]*Tabla2[Costo unitario Deficit]))</f>
        <v>19000</v>
      </c>
      <c r="F317" s="17" cm="1">
        <f t="array" aca="1" ref="F317" ca="1">(Tabla1[[#This Row],[Venta Dia]]*Tabla2[Precio de venta])-(Tabla1[[#This Row],[Venta Dia]]*Tabla2[Costo Produccion])-Tabla1[[#This Row],[Déficit bodega]]</f>
        <v>31000</v>
      </c>
    </row>
    <row r="318" spans="1:6" x14ac:dyDescent="0.2">
      <c r="A318" s="7">
        <v>283</v>
      </c>
      <c r="B318" s="7">
        <f t="shared" ca="1" si="12"/>
        <v>3</v>
      </c>
      <c r="C318" s="7">
        <f t="shared" ca="1" si="13"/>
        <v>4</v>
      </c>
      <c r="D318" s="7">
        <f t="shared" ca="1" si="14"/>
        <v>37</v>
      </c>
      <c r="E318" s="17" cm="1">
        <f t="array" aca="1" ref="E318" ca="1">ABS(IF(Tabla1[[#This Row],[Bodega]]&gt;0,Tabla1[[#This Row],[Bodega]]*Tabla2[Costo unitario Inventario],Tabla1[[#This Row],[Bodega]]*Tabla2[Costo unitario Deficit]))</f>
        <v>18500</v>
      </c>
      <c r="F318" s="17" cm="1">
        <f t="array" aca="1" ref="F318" ca="1">(Tabla1[[#This Row],[Venta Dia]]*Tabla2[Precio de venta])-(Tabla1[[#This Row],[Venta Dia]]*Tabla2[Costo Produccion])-Tabla1[[#This Row],[Déficit bodega]]</f>
        <v>21500</v>
      </c>
    </row>
    <row r="319" spans="1:6" x14ac:dyDescent="0.2">
      <c r="A319" s="7">
        <v>284</v>
      </c>
      <c r="B319" s="7">
        <f t="shared" ca="1" si="12"/>
        <v>6</v>
      </c>
      <c r="C319" s="7">
        <f t="shared" ca="1" si="13"/>
        <v>5</v>
      </c>
      <c r="D319" s="7">
        <f t="shared" ca="1" si="14"/>
        <v>38</v>
      </c>
      <c r="E319" s="17" cm="1">
        <f t="array" aca="1" ref="E319" ca="1">ABS(IF(Tabla1[[#This Row],[Bodega]]&gt;0,Tabla1[[#This Row],[Bodega]]*Tabla2[Costo unitario Inventario],Tabla1[[#This Row],[Bodega]]*Tabla2[Costo unitario Deficit]))</f>
        <v>19000</v>
      </c>
      <c r="F319" s="17" cm="1">
        <f t="array" aca="1" ref="F319" ca="1">(Tabla1[[#This Row],[Venta Dia]]*Tabla2[Precio de venta])-(Tabla1[[#This Row],[Venta Dia]]*Tabla2[Costo Produccion])-Tabla1[[#This Row],[Déficit bodega]]</f>
        <v>31000</v>
      </c>
    </row>
    <row r="320" spans="1:6" x14ac:dyDescent="0.2">
      <c r="A320" s="7">
        <v>285</v>
      </c>
      <c r="B320" s="7">
        <f t="shared" ca="1" si="12"/>
        <v>5</v>
      </c>
      <c r="C320" s="7">
        <f t="shared" ca="1" si="13"/>
        <v>5</v>
      </c>
      <c r="D320" s="7">
        <f t="shared" ca="1" si="14"/>
        <v>38</v>
      </c>
      <c r="E320" s="17" cm="1">
        <f t="array" aca="1" ref="E320" ca="1">ABS(IF(Tabla1[[#This Row],[Bodega]]&gt;0,Tabla1[[#This Row],[Bodega]]*Tabla2[Costo unitario Inventario],Tabla1[[#This Row],[Bodega]]*Tabla2[Costo unitario Deficit]))</f>
        <v>19000</v>
      </c>
      <c r="F320" s="17" cm="1">
        <f t="array" aca="1" ref="F320" ca="1">(Tabla1[[#This Row],[Venta Dia]]*Tabla2[Precio de venta])-(Tabla1[[#This Row],[Venta Dia]]*Tabla2[Costo Produccion])-Tabla1[[#This Row],[Déficit bodega]]</f>
        <v>31000</v>
      </c>
    </row>
    <row r="321" spans="1:6" x14ac:dyDescent="0.2">
      <c r="A321" s="7">
        <v>286</v>
      </c>
      <c r="B321" s="7">
        <f t="shared" ca="1" si="12"/>
        <v>5</v>
      </c>
      <c r="C321" s="7">
        <f t="shared" ca="1" si="13"/>
        <v>5</v>
      </c>
      <c r="D321" s="7">
        <f t="shared" ca="1" si="14"/>
        <v>38</v>
      </c>
      <c r="E321" s="17" cm="1">
        <f t="array" aca="1" ref="E321" ca="1">ABS(IF(Tabla1[[#This Row],[Bodega]]&gt;0,Tabla1[[#This Row],[Bodega]]*Tabla2[Costo unitario Inventario],Tabla1[[#This Row],[Bodega]]*Tabla2[Costo unitario Deficit]))</f>
        <v>19000</v>
      </c>
      <c r="F321" s="17" cm="1">
        <f t="array" aca="1" ref="F321" ca="1">(Tabla1[[#This Row],[Venta Dia]]*Tabla2[Precio de venta])-(Tabla1[[#This Row],[Venta Dia]]*Tabla2[Costo Produccion])-Tabla1[[#This Row],[Déficit bodega]]</f>
        <v>31000</v>
      </c>
    </row>
    <row r="322" spans="1:6" x14ac:dyDescent="0.2">
      <c r="A322" s="7">
        <v>287</v>
      </c>
      <c r="B322" s="7">
        <f t="shared" ca="1" si="12"/>
        <v>4</v>
      </c>
      <c r="C322" s="7">
        <f t="shared" ca="1" si="13"/>
        <v>5</v>
      </c>
      <c r="D322" s="7">
        <f t="shared" ca="1" si="14"/>
        <v>37</v>
      </c>
      <c r="E322" s="17" cm="1">
        <f t="array" aca="1" ref="E322" ca="1">ABS(IF(Tabla1[[#This Row],[Bodega]]&gt;0,Tabla1[[#This Row],[Bodega]]*Tabla2[Costo unitario Inventario],Tabla1[[#This Row],[Bodega]]*Tabla2[Costo unitario Deficit]))</f>
        <v>18500</v>
      </c>
      <c r="F322" s="17" cm="1">
        <f t="array" aca="1" ref="F322" ca="1">(Tabla1[[#This Row],[Venta Dia]]*Tabla2[Precio de venta])-(Tabla1[[#This Row],[Venta Dia]]*Tabla2[Costo Produccion])-Tabla1[[#This Row],[Déficit bodega]]</f>
        <v>31500</v>
      </c>
    </row>
    <row r="323" spans="1:6" x14ac:dyDescent="0.2">
      <c r="A323" s="7">
        <v>288</v>
      </c>
      <c r="B323" s="7">
        <f t="shared" ca="1" si="12"/>
        <v>5</v>
      </c>
      <c r="C323" s="7">
        <f t="shared" ca="1" si="13"/>
        <v>5</v>
      </c>
      <c r="D323" s="7">
        <f t="shared" ca="1" si="14"/>
        <v>37</v>
      </c>
      <c r="E323" s="17" cm="1">
        <f t="array" aca="1" ref="E323" ca="1">ABS(IF(Tabla1[[#This Row],[Bodega]]&gt;0,Tabla1[[#This Row],[Bodega]]*Tabla2[Costo unitario Inventario],Tabla1[[#This Row],[Bodega]]*Tabla2[Costo unitario Deficit]))</f>
        <v>18500</v>
      </c>
      <c r="F323" s="17" cm="1">
        <f t="array" aca="1" ref="F323" ca="1">(Tabla1[[#This Row],[Venta Dia]]*Tabla2[Precio de venta])-(Tabla1[[#This Row],[Venta Dia]]*Tabla2[Costo Produccion])-Tabla1[[#This Row],[Déficit bodega]]</f>
        <v>31500</v>
      </c>
    </row>
    <row r="324" spans="1:6" x14ac:dyDescent="0.2">
      <c r="A324" s="7">
        <v>289</v>
      </c>
      <c r="B324" s="7">
        <f t="shared" ca="1" si="12"/>
        <v>5</v>
      </c>
      <c r="C324" s="7">
        <f t="shared" ca="1" si="13"/>
        <v>5</v>
      </c>
      <c r="D324" s="7">
        <f t="shared" ca="1" si="14"/>
        <v>37</v>
      </c>
      <c r="E324" s="17" cm="1">
        <f t="array" aca="1" ref="E324" ca="1">ABS(IF(Tabla1[[#This Row],[Bodega]]&gt;0,Tabla1[[#This Row],[Bodega]]*Tabla2[Costo unitario Inventario],Tabla1[[#This Row],[Bodega]]*Tabla2[Costo unitario Deficit]))</f>
        <v>18500</v>
      </c>
      <c r="F324" s="17" cm="1">
        <f t="array" aca="1" ref="F324" ca="1">(Tabla1[[#This Row],[Venta Dia]]*Tabla2[Precio de venta])-(Tabla1[[#This Row],[Venta Dia]]*Tabla2[Costo Produccion])-Tabla1[[#This Row],[Déficit bodega]]</f>
        <v>31500</v>
      </c>
    </row>
    <row r="325" spans="1:6" x14ac:dyDescent="0.2">
      <c r="A325" s="7">
        <v>290</v>
      </c>
      <c r="B325" s="7">
        <f t="shared" ca="1" si="12"/>
        <v>4</v>
      </c>
      <c r="C325" s="7">
        <f t="shared" ca="1" si="13"/>
        <v>5</v>
      </c>
      <c r="D325" s="7">
        <f t="shared" ca="1" si="14"/>
        <v>36</v>
      </c>
      <c r="E325" s="17" cm="1">
        <f t="array" aca="1" ref="E325" ca="1">ABS(IF(Tabla1[[#This Row],[Bodega]]&gt;0,Tabla1[[#This Row],[Bodega]]*Tabla2[Costo unitario Inventario],Tabla1[[#This Row],[Bodega]]*Tabla2[Costo unitario Deficit]))</f>
        <v>18000</v>
      </c>
      <c r="F325" s="17" cm="1">
        <f t="array" aca="1" ref="F325" ca="1">(Tabla1[[#This Row],[Venta Dia]]*Tabla2[Precio de venta])-(Tabla1[[#This Row],[Venta Dia]]*Tabla2[Costo Produccion])-Tabla1[[#This Row],[Déficit bodega]]</f>
        <v>32000</v>
      </c>
    </row>
    <row r="326" spans="1:6" x14ac:dyDescent="0.2">
      <c r="A326" s="7">
        <v>291</v>
      </c>
      <c r="B326" s="7">
        <f t="shared" ca="1" si="12"/>
        <v>7</v>
      </c>
      <c r="C326" s="7">
        <f t="shared" ca="1" si="13"/>
        <v>5</v>
      </c>
      <c r="D326" s="7">
        <f t="shared" ca="1" si="14"/>
        <v>38</v>
      </c>
      <c r="E326" s="17" cm="1">
        <f t="array" aca="1" ref="E326" ca="1">ABS(IF(Tabla1[[#This Row],[Bodega]]&gt;0,Tabla1[[#This Row],[Bodega]]*Tabla2[Costo unitario Inventario],Tabla1[[#This Row],[Bodega]]*Tabla2[Costo unitario Deficit]))</f>
        <v>19000</v>
      </c>
      <c r="F326" s="17" cm="1">
        <f t="array" aca="1" ref="F326" ca="1">(Tabla1[[#This Row],[Venta Dia]]*Tabla2[Precio de venta])-(Tabla1[[#This Row],[Venta Dia]]*Tabla2[Costo Produccion])-Tabla1[[#This Row],[Déficit bodega]]</f>
        <v>31000</v>
      </c>
    </row>
    <row r="327" spans="1:6" x14ac:dyDescent="0.2">
      <c r="A327" s="7">
        <v>292</v>
      </c>
      <c r="B327" s="7">
        <f t="shared" ca="1" si="12"/>
        <v>7</v>
      </c>
      <c r="C327" s="7">
        <f t="shared" ca="1" si="13"/>
        <v>6</v>
      </c>
      <c r="D327" s="7">
        <f t="shared" ca="1" si="14"/>
        <v>39</v>
      </c>
      <c r="E327" s="17" cm="1">
        <f t="array" aca="1" ref="E327" ca="1">ABS(IF(Tabla1[[#This Row],[Bodega]]&gt;0,Tabla1[[#This Row],[Bodega]]*Tabla2[Costo unitario Inventario],Tabla1[[#This Row],[Bodega]]*Tabla2[Costo unitario Deficit]))</f>
        <v>19500</v>
      </c>
      <c r="F327" s="17" cm="1">
        <f t="array" aca="1" ref="F327" ca="1">(Tabla1[[#This Row],[Venta Dia]]*Tabla2[Precio de venta])-(Tabla1[[#This Row],[Venta Dia]]*Tabla2[Costo Produccion])-Tabla1[[#This Row],[Déficit bodega]]</f>
        <v>40500</v>
      </c>
    </row>
    <row r="328" spans="1:6" x14ac:dyDescent="0.2">
      <c r="A328" s="7">
        <v>293</v>
      </c>
      <c r="B328" s="7">
        <f t="shared" ca="1" si="12"/>
        <v>6</v>
      </c>
      <c r="C328" s="7">
        <f t="shared" ca="1" si="13"/>
        <v>6</v>
      </c>
      <c r="D328" s="7">
        <f t="shared" ca="1" si="14"/>
        <v>39</v>
      </c>
      <c r="E328" s="17" cm="1">
        <f t="array" aca="1" ref="E328" ca="1">ABS(IF(Tabla1[[#This Row],[Bodega]]&gt;0,Tabla1[[#This Row],[Bodega]]*Tabla2[Costo unitario Inventario],Tabla1[[#This Row],[Bodega]]*Tabla2[Costo unitario Deficit]))</f>
        <v>19500</v>
      </c>
      <c r="F328" s="17" cm="1">
        <f t="array" aca="1" ref="F328" ca="1">(Tabla1[[#This Row],[Venta Dia]]*Tabla2[Precio de venta])-(Tabla1[[#This Row],[Venta Dia]]*Tabla2[Costo Produccion])-Tabla1[[#This Row],[Déficit bodega]]</f>
        <v>40500</v>
      </c>
    </row>
    <row r="329" spans="1:6" x14ac:dyDescent="0.2">
      <c r="A329" s="7">
        <v>294</v>
      </c>
      <c r="B329" s="7">
        <f t="shared" ca="1" si="12"/>
        <v>3</v>
      </c>
      <c r="C329" s="7">
        <f t="shared" ca="1" si="13"/>
        <v>6</v>
      </c>
      <c r="D329" s="7">
        <f t="shared" ca="1" si="14"/>
        <v>36</v>
      </c>
      <c r="E329" s="17" cm="1">
        <f t="array" aca="1" ref="E329" ca="1">ABS(IF(Tabla1[[#This Row],[Bodega]]&gt;0,Tabla1[[#This Row],[Bodega]]*Tabla2[Costo unitario Inventario],Tabla1[[#This Row],[Bodega]]*Tabla2[Costo unitario Deficit]))</f>
        <v>18000</v>
      </c>
      <c r="F329" s="17" cm="1">
        <f t="array" aca="1" ref="F329" ca="1">(Tabla1[[#This Row],[Venta Dia]]*Tabla2[Precio de venta])-(Tabla1[[#This Row],[Venta Dia]]*Tabla2[Costo Produccion])-Tabla1[[#This Row],[Déficit bodega]]</f>
        <v>42000</v>
      </c>
    </row>
    <row r="330" spans="1:6" x14ac:dyDescent="0.2">
      <c r="A330" s="7">
        <v>295</v>
      </c>
      <c r="B330" s="7">
        <f t="shared" ca="1" si="12"/>
        <v>7</v>
      </c>
      <c r="C330" s="7">
        <f t="shared" ca="1" si="13"/>
        <v>5</v>
      </c>
      <c r="D330" s="7">
        <f t="shared" ca="1" si="14"/>
        <v>38</v>
      </c>
      <c r="E330" s="17" cm="1">
        <f t="array" aca="1" ref="E330" ca="1">ABS(IF(Tabla1[[#This Row],[Bodega]]&gt;0,Tabla1[[#This Row],[Bodega]]*Tabla2[Costo unitario Inventario],Tabla1[[#This Row],[Bodega]]*Tabla2[Costo unitario Deficit]))</f>
        <v>19000</v>
      </c>
      <c r="F330" s="17" cm="1">
        <f t="array" aca="1" ref="F330" ca="1">(Tabla1[[#This Row],[Venta Dia]]*Tabla2[Precio de venta])-(Tabla1[[#This Row],[Venta Dia]]*Tabla2[Costo Produccion])-Tabla1[[#This Row],[Déficit bodega]]</f>
        <v>31000</v>
      </c>
    </row>
    <row r="331" spans="1:6" x14ac:dyDescent="0.2">
      <c r="A331" s="7">
        <v>296</v>
      </c>
      <c r="B331" s="7">
        <f t="shared" ca="1" si="12"/>
        <v>6</v>
      </c>
      <c r="C331" s="7">
        <f t="shared" ca="1" si="13"/>
        <v>5</v>
      </c>
      <c r="D331" s="7">
        <f t="shared" ca="1" si="14"/>
        <v>39</v>
      </c>
      <c r="E331" s="17" cm="1">
        <f t="array" aca="1" ref="E331" ca="1">ABS(IF(Tabla1[[#This Row],[Bodega]]&gt;0,Tabla1[[#This Row],[Bodega]]*Tabla2[Costo unitario Inventario],Tabla1[[#This Row],[Bodega]]*Tabla2[Costo unitario Deficit]))</f>
        <v>19500</v>
      </c>
      <c r="F331" s="17" cm="1">
        <f t="array" aca="1" ref="F331" ca="1">(Tabla1[[#This Row],[Venta Dia]]*Tabla2[Precio de venta])-(Tabla1[[#This Row],[Venta Dia]]*Tabla2[Costo Produccion])-Tabla1[[#This Row],[Déficit bodega]]</f>
        <v>30500</v>
      </c>
    </row>
    <row r="332" spans="1:6" x14ac:dyDescent="0.2">
      <c r="A332" s="7">
        <v>297</v>
      </c>
      <c r="B332" s="7">
        <f t="shared" ca="1" si="12"/>
        <v>5</v>
      </c>
      <c r="C332" s="7">
        <f t="shared" ca="1" si="13"/>
        <v>5</v>
      </c>
      <c r="D332" s="7">
        <f t="shared" ca="1" si="14"/>
        <v>39</v>
      </c>
      <c r="E332" s="17" cm="1">
        <f t="array" aca="1" ref="E332" ca="1">ABS(IF(Tabla1[[#This Row],[Bodega]]&gt;0,Tabla1[[#This Row],[Bodega]]*Tabla2[Costo unitario Inventario],Tabla1[[#This Row],[Bodega]]*Tabla2[Costo unitario Deficit]))</f>
        <v>19500</v>
      </c>
      <c r="F332" s="17" cm="1">
        <f t="array" aca="1" ref="F332" ca="1">(Tabla1[[#This Row],[Venta Dia]]*Tabla2[Precio de venta])-(Tabla1[[#This Row],[Venta Dia]]*Tabla2[Costo Produccion])-Tabla1[[#This Row],[Déficit bodega]]</f>
        <v>30500</v>
      </c>
    </row>
    <row r="333" spans="1:6" x14ac:dyDescent="0.2">
      <c r="A333" s="7">
        <v>298</v>
      </c>
      <c r="B333" s="7">
        <f t="shared" ca="1" si="12"/>
        <v>4</v>
      </c>
      <c r="C333" s="7">
        <f t="shared" ca="1" si="13"/>
        <v>5</v>
      </c>
      <c r="D333" s="7">
        <f t="shared" ca="1" si="14"/>
        <v>38</v>
      </c>
      <c r="E333" s="17" cm="1">
        <f t="array" aca="1" ref="E333" ca="1">ABS(IF(Tabla1[[#This Row],[Bodega]]&gt;0,Tabla1[[#This Row],[Bodega]]*Tabla2[Costo unitario Inventario],Tabla1[[#This Row],[Bodega]]*Tabla2[Costo unitario Deficit]))</f>
        <v>19000</v>
      </c>
      <c r="F333" s="17" cm="1">
        <f t="array" aca="1" ref="F333" ca="1">(Tabla1[[#This Row],[Venta Dia]]*Tabla2[Precio de venta])-(Tabla1[[#This Row],[Venta Dia]]*Tabla2[Costo Produccion])-Tabla1[[#This Row],[Déficit bodega]]</f>
        <v>31000</v>
      </c>
    </row>
    <row r="334" spans="1:6" x14ac:dyDescent="0.2">
      <c r="A334" s="7">
        <v>299</v>
      </c>
      <c r="B334" s="7">
        <f t="shared" ca="1" si="12"/>
        <v>4</v>
      </c>
      <c r="C334" s="7">
        <f t="shared" ca="1" si="13"/>
        <v>5</v>
      </c>
      <c r="D334" s="7">
        <f t="shared" ca="1" si="14"/>
        <v>37</v>
      </c>
      <c r="E334" s="17" cm="1">
        <f t="array" aca="1" ref="E334" ca="1">ABS(IF(Tabla1[[#This Row],[Bodega]]&gt;0,Tabla1[[#This Row],[Bodega]]*Tabla2[Costo unitario Inventario],Tabla1[[#This Row],[Bodega]]*Tabla2[Costo unitario Deficit]))</f>
        <v>18500</v>
      </c>
      <c r="F334" s="17" cm="1">
        <f t="array" aca="1" ref="F334" ca="1">(Tabla1[[#This Row],[Venta Dia]]*Tabla2[Precio de venta])-(Tabla1[[#This Row],[Venta Dia]]*Tabla2[Costo Produccion])-Tabla1[[#This Row],[Déficit bodega]]</f>
        <v>31500</v>
      </c>
    </row>
    <row r="335" spans="1:6" x14ac:dyDescent="0.2">
      <c r="A335" s="7">
        <v>300</v>
      </c>
      <c r="B335" s="7">
        <f t="shared" ca="1" si="12"/>
        <v>3</v>
      </c>
      <c r="C335" s="7">
        <f t="shared" ca="1" si="13"/>
        <v>5</v>
      </c>
      <c r="D335" s="7">
        <f t="shared" ca="1" si="14"/>
        <v>35</v>
      </c>
      <c r="E335" s="17" cm="1">
        <f t="array" aca="1" ref="E335" ca="1">ABS(IF(Tabla1[[#This Row],[Bodega]]&gt;0,Tabla1[[#This Row],[Bodega]]*Tabla2[Costo unitario Inventario],Tabla1[[#This Row],[Bodega]]*Tabla2[Costo unitario Deficit]))</f>
        <v>17500</v>
      </c>
      <c r="F335" s="17" cm="1">
        <f t="array" aca="1" ref="F335" ca="1">(Tabla1[[#This Row],[Venta Dia]]*Tabla2[Precio de venta])-(Tabla1[[#This Row],[Venta Dia]]*Tabla2[Costo Produccion])-Tabla1[[#This Row],[Déficit bodega]]</f>
        <v>32500</v>
      </c>
    </row>
    <row r="336" spans="1:6" x14ac:dyDescent="0.2">
      <c r="A336" s="7">
        <v>301</v>
      </c>
      <c r="B336" s="7">
        <f t="shared" ca="1" si="12"/>
        <v>7</v>
      </c>
      <c r="C336" s="7">
        <f t="shared" ca="1" si="13"/>
        <v>5</v>
      </c>
      <c r="D336" s="7">
        <f t="shared" ca="1" si="14"/>
        <v>37</v>
      </c>
      <c r="E336" s="17" cm="1">
        <f t="array" aca="1" ref="E336" ca="1">ABS(IF(Tabla1[[#This Row],[Bodega]]&gt;0,Tabla1[[#This Row],[Bodega]]*Tabla2[Costo unitario Inventario],Tabla1[[#This Row],[Bodega]]*Tabla2[Costo unitario Deficit]))</f>
        <v>18500</v>
      </c>
      <c r="F336" s="17" cm="1">
        <f t="array" aca="1" ref="F336" ca="1">(Tabla1[[#This Row],[Venta Dia]]*Tabla2[Precio de venta])-(Tabla1[[#This Row],[Venta Dia]]*Tabla2[Costo Produccion])-Tabla1[[#This Row],[Déficit bodega]]</f>
        <v>31500</v>
      </c>
    </row>
    <row r="337" spans="1:6" x14ac:dyDescent="0.2">
      <c r="A337" s="7">
        <v>302</v>
      </c>
      <c r="B337" s="7">
        <f t="shared" ca="1" si="12"/>
        <v>5</v>
      </c>
      <c r="C337" s="7">
        <f t="shared" ca="1" si="13"/>
        <v>5</v>
      </c>
      <c r="D337" s="7">
        <f t="shared" ca="1" si="14"/>
        <v>37</v>
      </c>
      <c r="E337" s="17" cm="1">
        <f t="array" aca="1" ref="E337" ca="1">ABS(IF(Tabla1[[#This Row],[Bodega]]&gt;0,Tabla1[[#This Row],[Bodega]]*Tabla2[Costo unitario Inventario],Tabla1[[#This Row],[Bodega]]*Tabla2[Costo unitario Deficit]))</f>
        <v>18500</v>
      </c>
      <c r="F337" s="17" cm="1">
        <f t="array" aca="1" ref="F337" ca="1">(Tabla1[[#This Row],[Venta Dia]]*Tabla2[Precio de venta])-(Tabla1[[#This Row],[Venta Dia]]*Tabla2[Costo Produccion])-Tabla1[[#This Row],[Déficit bodega]]</f>
        <v>31500</v>
      </c>
    </row>
    <row r="338" spans="1:6" x14ac:dyDescent="0.2">
      <c r="A338" s="7">
        <v>303</v>
      </c>
      <c r="B338" s="7">
        <f t="shared" ca="1" si="12"/>
        <v>4</v>
      </c>
      <c r="C338" s="7">
        <f t="shared" ca="1" si="13"/>
        <v>4</v>
      </c>
      <c r="D338" s="7">
        <f t="shared" ca="1" si="14"/>
        <v>37</v>
      </c>
      <c r="E338" s="17" cm="1">
        <f t="array" aca="1" ref="E338" ca="1">ABS(IF(Tabla1[[#This Row],[Bodega]]&gt;0,Tabla1[[#This Row],[Bodega]]*Tabla2[Costo unitario Inventario],Tabla1[[#This Row],[Bodega]]*Tabla2[Costo unitario Deficit]))</f>
        <v>18500</v>
      </c>
      <c r="F338" s="17" cm="1">
        <f t="array" aca="1" ref="F338" ca="1">(Tabla1[[#This Row],[Venta Dia]]*Tabla2[Precio de venta])-(Tabla1[[#This Row],[Venta Dia]]*Tabla2[Costo Produccion])-Tabla1[[#This Row],[Déficit bodega]]</f>
        <v>21500</v>
      </c>
    </row>
    <row r="339" spans="1:6" x14ac:dyDescent="0.2">
      <c r="A339" s="7">
        <v>304</v>
      </c>
      <c r="B339" s="7">
        <f t="shared" ca="1" si="12"/>
        <v>6</v>
      </c>
      <c r="C339" s="7">
        <f t="shared" ca="1" si="13"/>
        <v>4</v>
      </c>
      <c r="D339" s="7">
        <f t="shared" ca="1" si="14"/>
        <v>39</v>
      </c>
      <c r="E339" s="17" cm="1">
        <f t="array" aca="1" ref="E339" ca="1">ABS(IF(Tabla1[[#This Row],[Bodega]]&gt;0,Tabla1[[#This Row],[Bodega]]*Tabla2[Costo unitario Inventario],Tabla1[[#This Row],[Bodega]]*Tabla2[Costo unitario Deficit]))</f>
        <v>19500</v>
      </c>
      <c r="F339" s="17" cm="1">
        <f t="array" aca="1" ref="F339" ca="1">(Tabla1[[#This Row],[Venta Dia]]*Tabla2[Precio de venta])-(Tabla1[[#This Row],[Venta Dia]]*Tabla2[Costo Produccion])-Tabla1[[#This Row],[Déficit bodega]]</f>
        <v>20500</v>
      </c>
    </row>
    <row r="340" spans="1:6" x14ac:dyDescent="0.2">
      <c r="A340" s="7">
        <v>305</v>
      </c>
      <c r="B340" s="7">
        <f t="shared" ca="1" si="12"/>
        <v>6</v>
      </c>
      <c r="C340" s="7">
        <f t="shared" ca="1" si="13"/>
        <v>5</v>
      </c>
      <c r="D340" s="7">
        <f t="shared" ca="1" si="14"/>
        <v>40</v>
      </c>
      <c r="E340" s="17" cm="1">
        <f t="array" aca="1" ref="E340" ca="1">ABS(IF(Tabla1[[#This Row],[Bodega]]&gt;0,Tabla1[[#This Row],[Bodega]]*Tabla2[Costo unitario Inventario],Tabla1[[#This Row],[Bodega]]*Tabla2[Costo unitario Deficit]))</f>
        <v>20000</v>
      </c>
      <c r="F340" s="17" cm="1">
        <f t="array" aca="1" ref="F340" ca="1">(Tabla1[[#This Row],[Venta Dia]]*Tabla2[Precio de venta])-(Tabla1[[#This Row],[Venta Dia]]*Tabla2[Costo Produccion])-Tabla1[[#This Row],[Déficit bodega]]</f>
        <v>30000</v>
      </c>
    </row>
    <row r="341" spans="1:6" x14ac:dyDescent="0.2">
      <c r="A341" s="7">
        <v>306</v>
      </c>
      <c r="B341" s="7">
        <f t="shared" ca="1" si="12"/>
        <v>5</v>
      </c>
      <c r="C341" s="7">
        <f t="shared" ca="1" si="13"/>
        <v>5</v>
      </c>
      <c r="D341" s="7">
        <f t="shared" ca="1" si="14"/>
        <v>40</v>
      </c>
      <c r="E341" s="17" cm="1">
        <f t="array" aca="1" ref="E341" ca="1">ABS(IF(Tabla1[[#This Row],[Bodega]]&gt;0,Tabla1[[#This Row],[Bodega]]*Tabla2[Costo unitario Inventario],Tabla1[[#This Row],[Bodega]]*Tabla2[Costo unitario Deficit]))</f>
        <v>20000</v>
      </c>
      <c r="F341" s="17" cm="1">
        <f t="array" aca="1" ref="F341" ca="1">(Tabla1[[#This Row],[Venta Dia]]*Tabla2[Precio de venta])-(Tabla1[[#This Row],[Venta Dia]]*Tabla2[Costo Produccion])-Tabla1[[#This Row],[Déficit bodega]]</f>
        <v>30000</v>
      </c>
    </row>
    <row r="342" spans="1:6" x14ac:dyDescent="0.2">
      <c r="A342" s="7">
        <v>307</v>
      </c>
      <c r="B342" s="7">
        <f t="shared" ca="1" si="12"/>
        <v>4</v>
      </c>
      <c r="C342" s="7">
        <f t="shared" ca="1" si="13"/>
        <v>4</v>
      </c>
      <c r="D342" s="7">
        <f t="shared" ca="1" si="14"/>
        <v>40</v>
      </c>
      <c r="E342" s="17" cm="1">
        <f t="array" aca="1" ref="E342" ca="1">ABS(IF(Tabla1[[#This Row],[Bodega]]&gt;0,Tabla1[[#This Row],[Bodega]]*Tabla2[Costo unitario Inventario],Tabla1[[#This Row],[Bodega]]*Tabla2[Costo unitario Deficit]))</f>
        <v>20000</v>
      </c>
      <c r="F342" s="17" cm="1">
        <f t="array" aca="1" ref="F342" ca="1">(Tabla1[[#This Row],[Venta Dia]]*Tabla2[Precio de venta])-(Tabla1[[#This Row],[Venta Dia]]*Tabla2[Costo Produccion])-Tabla1[[#This Row],[Déficit bodega]]</f>
        <v>20000</v>
      </c>
    </row>
    <row r="343" spans="1:6" x14ac:dyDescent="0.2">
      <c r="A343" s="7">
        <v>308</v>
      </c>
      <c r="B343" s="7">
        <f t="shared" ca="1" si="12"/>
        <v>4</v>
      </c>
      <c r="C343" s="7">
        <f t="shared" ca="1" si="13"/>
        <v>5</v>
      </c>
      <c r="D343" s="7">
        <f t="shared" ca="1" si="14"/>
        <v>39</v>
      </c>
      <c r="E343" s="17" cm="1">
        <f t="array" aca="1" ref="E343" ca="1">ABS(IF(Tabla1[[#This Row],[Bodega]]&gt;0,Tabla1[[#This Row],[Bodega]]*Tabla2[Costo unitario Inventario],Tabla1[[#This Row],[Bodega]]*Tabla2[Costo unitario Deficit]))</f>
        <v>19500</v>
      </c>
      <c r="F343" s="17" cm="1">
        <f t="array" aca="1" ref="F343" ca="1">(Tabla1[[#This Row],[Venta Dia]]*Tabla2[Precio de venta])-(Tabla1[[#This Row],[Venta Dia]]*Tabla2[Costo Produccion])-Tabla1[[#This Row],[Déficit bodega]]</f>
        <v>30500</v>
      </c>
    </row>
    <row r="344" spans="1:6" x14ac:dyDescent="0.2">
      <c r="A344" s="7">
        <v>309</v>
      </c>
      <c r="B344" s="7">
        <f t="shared" ca="1" si="12"/>
        <v>4</v>
      </c>
      <c r="C344" s="7">
        <f t="shared" ca="1" si="13"/>
        <v>5</v>
      </c>
      <c r="D344" s="7">
        <f t="shared" ca="1" si="14"/>
        <v>38</v>
      </c>
      <c r="E344" s="17" cm="1">
        <f t="array" aca="1" ref="E344" ca="1">ABS(IF(Tabla1[[#This Row],[Bodega]]&gt;0,Tabla1[[#This Row],[Bodega]]*Tabla2[Costo unitario Inventario],Tabla1[[#This Row],[Bodega]]*Tabla2[Costo unitario Deficit]))</f>
        <v>19000</v>
      </c>
      <c r="F344" s="17" cm="1">
        <f t="array" aca="1" ref="F344" ca="1">(Tabla1[[#This Row],[Venta Dia]]*Tabla2[Precio de venta])-(Tabla1[[#This Row],[Venta Dia]]*Tabla2[Costo Produccion])-Tabla1[[#This Row],[Déficit bodega]]</f>
        <v>31000</v>
      </c>
    </row>
    <row r="345" spans="1:6" x14ac:dyDescent="0.2">
      <c r="A345" s="7">
        <v>310</v>
      </c>
      <c r="B345" s="7">
        <f t="shared" ca="1" si="12"/>
        <v>3</v>
      </c>
      <c r="C345" s="7">
        <f t="shared" ca="1" si="13"/>
        <v>4</v>
      </c>
      <c r="D345" s="7">
        <f t="shared" ca="1" si="14"/>
        <v>37</v>
      </c>
      <c r="E345" s="17" cm="1">
        <f t="array" aca="1" ref="E345" ca="1">ABS(IF(Tabla1[[#This Row],[Bodega]]&gt;0,Tabla1[[#This Row],[Bodega]]*Tabla2[Costo unitario Inventario],Tabla1[[#This Row],[Bodega]]*Tabla2[Costo unitario Deficit]))</f>
        <v>18500</v>
      </c>
      <c r="F345" s="17" cm="1">
        <f t="array" aca="1" ref="F345" ca="1">(Tabla1[[#This Row],[Venta Dia]]*Tabla2[Precio de venta])-(Tabla1[[#This Row],[Venta Dia]]*Tabla2[Costo Produccion])-Tabla1[[#This Row],[Déficit bodega]]</f>
        <v>21500</v>
      </c>
    </row>
    <row r="346" spans="1:6" x14ac:dyDescent="0.2">
      <c r="A346" s="7">
        <v>311</v>
      </c>
      <c r="B346" s="7">
        <f t="shared" ca="1" si="12"/>
        <v>6</v>
      </c>
      <c r="C346" s="7">
        <f t="shared" ca="1" si="13"/>
        <v>5</v>
      </c>
      <c r="D346" s="7">
        <f t="shared" ca="1" si="14"/>
        <v>38</v>
      </c>
      <c r="E346" s="17" cm="1">
        <f t="array" aca="1" ref="E346" ca="1">ABS(IF(Tabla1[[#This Row],[Bodega]]&gt;0,Tabla1[[#This Row],[Bodega]]*Tabla2[Costo unitario Inventario],Tabla1[[#This Row],[Bodega]]*Tabla2[Costo unitario Deficit]))</f>
        <v>19000</v>
      </c>
      <c r="F346" s="17" cm="1">
        <f t="array" aca="1" ref="F346" ca="1">(Tabla1[[#This Row],[Venta Dia]]*Tabla2[Precio de venta])-(Tabla1[[#This Row],[Venta Dia]]*Tabla2[Costo Produccion])-Tabla1[[#This Row],[Déficit bodega]]</f>
        <v>31000</v>
      </c>
    </row>
    <row r="347" spans="1:6" x14ac:dyDescent="0.2">
      <c r="A347" s="7">
        <v>312</v>
      </c>
      <c r="B347" s="7">
        <f t="shared" ca="1" si="12"/>
        <v>4</v>
      </c>
      <c r="C347" s="7">
        <f t="shared" ca="1" si="13"/>
        <v>4</v>
      </c>
      <c r="D347" s="7">
        <f t="shared" ca="1" si="14"/>
        <v>38</v>
      </c>
      <c r="E347" s="17" cm="1">
        <f t="array" aca="1" ref="E347" ca="1">ABS(IF(Tabla1[[#This Row],[Bodega]]&gt;0,Tabla1[[#This Row],[Bodega]]*Tabla2[Costo unitario Inventario],Tabla1[[#This Row],[Bodega]]*Tabla2[Costo unitario Deficit]))</f>
        <v>19000</v>
      </c>
      <c r="F347" s="17" cm="1">
        <f t="array" aca="1" ref="F347" ca="1">(Tabla1[[#This Row],[Venta Dia]]*Tabla2[Precio de venta])-(Tabla1[[#This Row],[Venta Dia]]*Tabla2[Costo Produccion])-Tabla1[[#This Row],[Déficit bodega]]</f>
        <v>21000</v>
      </c>
    </row>
    <row r="348" spans="1:6" x14ac:dyDescent="0.2">
      <c r="A348" s="7">
        <v>313</v>
      </c>
      <c r="B348" s="7">
        <f t="shared" ca="1" si="12"/>
        <v>3</v>
      </c>
      <c r="C348" s="7">
        <f t="shared" ca="1" si="13"/>
        <v>5</v>
      </c>
      <c r="D348" s="7">
        <f t="shared" ca="1" si="14"/>
        <v>36</v>
      </c>
      <c r="E348" s="17" cm="1">
        <f t="array" aca="1" ref="E348" ca="1">ABS(IF(Tabla1[[#This Row],[Bodega]]&gt;0,Tabla1[[#This Row],[Bodega]]*Tabla2[Costo unitario Inventario],Tabla1[[#This Row],[Bodega]]*Tabla2[Costo unitario Deficit]))</f>
        <v>18000</v>
      </c>
      <c r="F348" s="17" cm="1">
        <f t="array" aca="1" ref="F348" ca="1">(Tabla1[[#This Row],[Venta Dia]]*Tabla2[Precio de venta])-(Tabla1[[#This Row],[Venta Dia]]*Tabla2[Costo Produccion])-Tabla1[[#This Row],[Déficit bodega]]</f>
        <v>32000</v>
      </c>
    </row>
    <row r="349" spans="1:6" x14ac:dyDescent="0.2">
      <c r="A349" s="7">
        <v>314</v>
      </c>
      <c r="B349" s="7">
        <f t="shared" ca="1" si="12"/>
        <v>7</v>
      </c>
      <c r="C349" s="7">
        <f t="shared" ca="1" si="13"/>
        <v>5</v>
      </c>
      <c r="D349" s="7">
        <f t="shared" ca="1" si="14"/>
        <v>38</v>
      </c>
      <c r="E349" s="17" cm="1">
        <f t="array" aca="1" ref="E349" ca="1">ABS(IF(Tabla1[[#This Row],[Bodega]]&gt;0,Tabla1[[#This Row],[Bodega]]*Tabla2[Costo unitario Inventario],Tabla1[[#This Row],[Bodega]]*Tabla2[Costo unitario Deficit]))</f>
        <v>19000</v>
      </c>
      <c r="F349" s="17" cm="1">
        <f t="array" aca="1" ref="F349" ca="1">(Tabla1[[#This Row],[Venta Dia]]*Tabla2[Precio de venta])-(Tabla1[[#This Row],[Venta Dia]]*Tabla2[Costo Produccion])-Tabla1[[#This Row],[Déficit bodega]]</f>
        <v>31000</v>
      </c>
    </row>
    <row r="350" spans="1:6" x14ac:dyDescent="0.2">
      <c r="A350" s="7">
        <v>315</v>
      </c>
      <c r="B350" s="7">
        <f t="shared" ca="1" si="12"/>
        <v>5</v>
      </c>
      <c r="C350" s="7">
        <f t="shared" ca="1" si="13"/>
        <v>5</v>
      </c>
      <c r="D350" s="7">
        <f t="shared" ca="1" si="14"/>
        <v>38</v>
      </c>
      <c r="E350" s="17" cm="1">
        <f t="array" aca="1" ref="E350" ca="1">ABS(IF(Tabla1[[#This Row],[Bodega]]&gt;0,Tabla1[[#This Row],[Bodega]]*Tabla2[Costo unitario Inventario],Tabla1[[#This Row],[Bodega]]*Tabla2[Costo unitario Deficit]))</f>
        <v>19000</v>
      </c>
      <c r="F350" s="17" cm="1">
        <f t="array" aca="1" ref="F350" ca="1">(Tabla1[[#This Row],[Venta Dia]]*Tabla2[Precio de venta])-(Tabla1[[#This Row],[Venta Dia]]*Tabla2[Costo Produccion])-Tabla1[[#This Row],[Déficit bodega]]</f>
        <v>31000</v>
      </c>
    </row>
    <row r="351" spans="1:6" x14ac:dyDescent="0.2">
      <c r="A351" s="7">
        <v>316</v>
      </c>
      <c r="B351" s="7">
        <f t="shared" ca="1" si="12"/>
        <v>4</v>
      </c>
      <c r="C351" s="7">
        <f t="shared" ca="1" si="13"/>
        <v>5</v>
      </c>
      <c r="D351" s="7">
        <f t="shared" ca="1" si="14"/>
        <v>37</v>
      </c>
      <c r="E351" s="17" cm="1">
        <f t="array" aca="1" ref="E351" ca="1">ABS(IF(Tabla1[[#This Row],[Bodega]]&gt;0,Tabla1[[#This Row],[Bodega]]*Tabla2[Costo unitario Inventario],Tabla1[[#This Row],[Bodega]]*Tabla2[Costo unitario Deficit]))</f>
        <v>18500</v>
      </c>
      <c r="F351" s="17" cm="1">
        <f t="array" aca="1" ref="F351" ca="1">(Tabla1[[#This Row],[Venta Dia]]*Tabla2[Precio de venta])-(Tabla1[[#This Row],[Venta Dia]]*Tabla2[Costo Produccion])-Tabla1[[#This Row],[Déficit bodega]]</f>
        <v>31500</v>
      </c>
    </row>
    <row r="352" spans="1:6" x14ac:dyDescent="0.2">
      <c r="A352" s="7">
        <v>317</v>
      </c>
      <c r="B352" s="7">
        <f t="shared" ca="1" si="12"/>
        <v>5</v>
      </c>
      <c r="C352" s="7">
        <f t="shared" ca="1" si="13"/>
        <v>4</v>
      </c>
      <c r="D352" s="7">
        <f t="shared" ca="1" si="14"/>
        <v>38</v>
      </c>
      <c r="E352" s="17" cm="1">
        <f t="array" aca="1" ref="E352" ca="1">ABS(IF(Tabla1[[#This Row],[Bodega]]&gt;0,Tabla1[[#This Row],[Bodega]]*Tabla2[Costo unitario Inventario],Tabla1[[#This Row],[Bodega]]*Tabla2[Costo unitario Deficit]))</f>
        <v>19000</v>
      </c>
      <c r="F352" s="17" cm="1">
        <f t="array" aca="1" ref="F352" ca="1">(Tabla1[[#This Row],[Venta Dia]]*Tabla2[Precio de venta])-(Tabla1[[#This Row],[Venta Dia]]*Tabla2[Costo Produccion])-Tabla1[[#This Row],[Déficit bodega]]</f>
        <v>21000</v>
      </c>
    </row>
    <row r="353" spans="1:6" x14ac:dyDescent="0.2">
      <c r="A353" s="7">
        <v>318</v>
      </c>
      <c r="B353" s="7">
        <f t="shared" ca="1" si="12"/>
        <v>6</v>
      </c>
      <c r="C353" s="7">
        <f t="shared" ca="1" si="13"/>
        <v>5</v>
      </c>
      <c r="D353" s="7">
        <f t="shared" ca="1" si="14"/>
        <v>39</v>
      </c>
      <c r="E353" s="17" cm="1">
        <f t="array" aca="1" ref="E353" ca="1">ABS(IF(Tabla1[[#This Row],[Bodega]]&gt;0,Tabla1[[#This Row],[Bodega]]*Tabla2[Costo unitario Inventario],Tabla1[[#This Row],[Bodega]]*Tabla2[Costo unitario Deficit]))</f>
        <v>19500</v>
      </c>
      <c r="F353" s="17" cm="1">
        <f t="array" aca="1" ref="F353" ca="1">(Tabla1[[#This Row],[Venta Dia]]*Tabla2[Precio de venta])-(Tabla1[[#This Row],[Venta Dia]]*Tabla2[Costo Produccion])-Tabla1[[#This Row],[Déficit bodega]]</f>
        <v>30500</v>
      </c>
    </row>
    <row r="354" spans="1:6" x14ac:dyDescent="0.2">
      <c r="A354" s="7">
        <v>319</v>
      </c>
      <c r="B354" s="7">
        <f t="shared" ca="1" si="12"/>
        <v>5</v>
      </c>
      <c r="C354" s="7">
        <f t="shared" ca="1" si="13"/>
        <v>5</v>
      </c>
      <c r="D354" s="7">
        <f t="shared" ca="1" si="14"/>
        <v>39</v>
      </c>
      <c r="E354" s="17" cm="1">
        <f t="array" aca="1" ref="E354" ca="1">ABS(IF(Tabla1[[#This Row],[Bodega]]&gt;0,Tabla1[[#This Row],[Bodega]]*Tabla2[Costo unitario Inventario],Tabla1[[#This Row],[Bodega]]*Tabla2[Costo unitario Deficit]))</f>
        <v>19500</v>
      </c>
      <c r="F354" s="17" cm="1">
        <f t="array" aca="1" ref="F354" ca="1">(Tabla1[[#This Row],[Venta Dia]]*Tabla2[Precio de venta])-(Tabla1[[#This Row],[Venta Dia]]*Tabla2[Costo Produccion])-Tabla1[[#This Row],[Déficit bodega]]</f>
        <v>30500</v>
      </c>
    </row>
    <row r="355" spans="1:6" x14ac:dyDescent="0.2">
      <c r="A355" s="7">
        <v>320</v>
      </c>
      <c r="B355" s="7">
        <f t="shared" ca="1" si="12"/>
        <v>6</v>
      </c>
      <c r="C355" s="7">
        <f t="shared" ca="1" si="13"/>
        <v>5</v>
      </c>
      <c r="D355" s="7">
        <f t="shared" ca="1" si="14"/>
        <v>40</v>
      </c>
      <c r="E355" s="17" cm="1">
        <f t="array" aca="1" ref="E355" ca="1">ABS(IF(Tabla1[[#This Row],[Bodega]]&gt;0,Tabla1[[#This Row],[Bodega]]*Tabla2[Costo unitario Inventario],Tabla1[[#This Row],[Bodega]]*Tabla2[Costo unitario Deficit]))</f>
        <v>20000</v>
      </c>
      <c r="F355" s="17" cm="1">
        <f t="array" aca="1" ref="F355" ca="1">(Tabla1[[#This Row],[Venta Dia]]*Tabla2[Precio de venta])-(Tabla1[[#This Row],[Venta Dia]]*Tabla2[Costo Produccion])-Tabla1[[#This Row],[Déficit bodega]]</f>
        <v>30000</v>
      </c>
    </row>
    <row r="356" spans="1:6" x14ac:dyDescent="0.2">
      <c r="A356" s="7">
        <v>321</v>
      </c>
      <c r="B356" s="7">
        <f t="shared" ref="B356:B400" ca="1" si="15">RANDBETWEEN($A$33,$B$33)</f>
        <v>5</v>
      </c>
      <c r="C356" s="7">
        <f t="shared" ca="1" si="13"/>
        <v>4</v>
      </c>
      <c r="D356" s="7">
        <f t="shared" ca="1" si="14"/>
        <v>41</v>
      </c>
      <c r="E356" s="17" cm="1">
        <f t="array" aca="1" ref="E356" ca="1">ABS(IF(Tabla1[[#This Row],[Bodega]]&gt;0,Tabla1[[#This Row],[Bodega]]*Tabla2[Costo unitario Inventario],Tabla1[[#This Row],[Bodega]]*Tabla2[Costo unitario Deficit]))</f>
        <v>20500</v>
      </c>
      <c r="F356" s="17" cm="1">
        <f t="array" aca="1" ref="F356" ca="1">(Tabla1[[#This Row],[Venta Dia]]*Tabla2[Precio de venta])-(Tabla1[[#This Row],[Venta Dia]]*Tabla2[Costo Produccion])-Tabla1[[#This Row],[Déficit bodega]]</f>
        <v>19500</v>
      </c>
    </row>
    <row r="357" spans="1:6" x14ac:dyDescent="0.2">
      <c r="A357" s="7">
        <v>322</v>
      </c>
      <c r="B357" s="7">
        <f t="shared" ca="1" si="15"/>
        <v>3</v>
      </c>
      <c r="C357" s="7">
        <f t="shared" ref="C357:C400" ca="1" si="16">IF(RAND()&gt;=0.5,5,IF(RAND()&gt;=0.2,4,6))</f>
        <v>4</v>
      </c>
      <c r="D357" s="7">
        <f t="shared" ca="1" si="14"/>
        <v>40</v>
      </c>
      <c r="E357" s="17" cm="1">
        <f t="array" aca="1" ref="E357" ca="1">ABS(IF(Tabla1[[#This Row],[Bodega]]&gt;0,Tabla1[[#This Row],[Bodega]]*Tabla2[Costo unitario Inventario],Tabla1[[#This Row],[Bodega]]*Tabla2[Costo unitario Deficit]))</f>
        <v>20000</v>
      </c>
      <c r="F357" s="17" cm="1">
        <f t="array" aca="1" ref="F357" ca="1">(Tabla1[[#This Row],[Venta Dia]]*Tabla2[Precio de venta])-(Tabla1[[#This Row],[Venta Dia]]*Tabla2[Costo Produccion])-Tabla1[[#This Row],[Déficit bodega]]</f>
        <v>20000</v>
      </c>
    </row>
    <row r="358" spans="1:6" x14ac:dyDescent="0.2">
      <c r="A358" s="7">
        <v>323</v>
      </c>
      <c r="B358" s="7">
        <f t="shared" ca="1" si="15"/>
        <v>6</v>
      </c>
      <c r="C358" s="7">
        <f t="shared" ca="1" si="16"/>
        <v>5</v>
      </c>
      <c r="D358" s="7">
        <f t="shared" ref="D358:D400" ca="1" si="17">D357+B358-C358</f>
        <v>41</v>
      </c>
      <c r="E358" s="17" cm="1">
        <f t="array" aca="1" ref="E358" ca="1">ABS(IF(Tabla1[[#This Row],[Bodega]]&gt;0,Tabla1[[#This Row],[Bodega]]*Tabla2[Costo unitario Inventario],Tabla1[[#This Row],[Bodega]]*Tabla2[Costo unitario Deficit]))</f>
        <v>20500</v>
      </c>
      <c r="F358" s="17" cm="1">
        <f t="array" aca="1" ref="F358" ca="1">(Tabla1[[#This Row],[Venta Dia]]*Tabla2[Precio de venta])-(Tabla1[[#This Row],[Venta Dia]]*Tabla2[Costo Produccion])-Tabla1[[#This Row],[Déficit bodega]]</f>
        <v>29500</v>
      </c>
    </row>
    <row r="359" spans="1:6" x14ac:dyDescent="0.2">
      <c r="A359" s="7">
        <v>324</v>
      </c>
      <c r="B359" s="7">
        <f t="shared" ca="1" si="15"/>
        <v>5</v>
      </c>
      <c r="C359" s="7">
        <f t="shared" ca="1" si="16"/>
        <v>5</v>
      </c>
      <c r="D359" s="7">
        <f t="shared" ca="1" si="17"/>
        <v>41</v>
      </c>
      <c r="E359" s="17" cm="1">
        <f t="array" aca="1" ref="E359" ca="1">ABS(IF(Tabla1[[#This Row],[Bodega]]&gt;0,Tabla1[[#This Row],[Bodega]]*Tabla2[Costo unitario Inventario],Tabla1[[#This Row],[Bodega]]*Tabla2[Costo unitario Deficit]))</f>
        <v>20500</v>
      </c>
      <c r="F359" s="17" cm="1">
        <f t="array" aca="1" ref="F359" ca="1">(Tabla1[[#This Row],[Venta Dia]]*Tabla2[Precio de venta])-(Tabla1[[#This Row],[Venta Dia]]*Tabla2[Costo Produccion])-Tabla1[[#This Row],[Déficit bodega]]</f>
        <v>29500</v>
      </c>
    </row>
    <row r="360" spans="1:6" x14ac:dyDescent="0.2">
      <c r="A360" s="7">
        <v>325</v>
      </c>
      <c r="B360" s="7">
        <f t="shared" ca="1" si="15"/>
        <v>5</v>
      </c>
      <c r="C360" s="7">
        <f t="shared" ca="1" si="16"/>
        <v>5</v>
      </c>
      <c r="D360" s="7">
        <f t="shared" ca="1" si="17"/>
        <v>41</v>
      </c>
      <c r="E360" s="17" cm="1">
        <f t="array" aca="1" ref="E360" ca="1">ABS(IF(Tabla1[[#This Row],[Bodega]]&gt;0,Tabla1[[#This Row],[Bodega]]*Tabla2[Costo unitario Inventario],Tabla1[[#This Row],[Bodega]]*Tabla2[Costo unitario Deficit]))</f>
        <v>20500</v>
      </c>
      <c r="F360" s="17" cm="1">
        <f t="array" aca="1" ref="F360" ca="1">(Tabla1[[#This Row],[Venta Dia]]*Tabla2[Precio de venta])-(Tabla1[[#This Row],[Venta Dia]]*Tabla2[Costo Produccion])-Tabla1[[#This Row],[Déficit bodega]]</f>
        <v>29500</v>
      </c>
    </row>
    <row r="361" spans="1:6" x14ac:dyDescent="0.2">
      <c r="A361" s="7">
        <v>326</v>
      </c>
      <c r="B361" s="7">
        <f t="shared" ca="1" si="15"/>
        <v>5</v>
      </c>
      <c r="C361" s="7">
        <f t="shared" ca="1" si="16"/>
        <v>4</v>
      </c>
      <c r="D361" s="7">
        <f t="shared" ca="1" si="17"/>
        <v>42</v>
      </c>
      <c r="E361" s="17" cm="1">
        <f t="array" aca="1" ref="E361" ca="1">ABS(IF(Tabla1[[#This Row],[Bodega]]&gt;0,Tabla1[[#This Row],[Bodega]]*Tabla2[Costo unitario Inventario],Tabla1[[#This Row],[Bodega]]*Tabla2[Costo unitario Deficit]))</f>
        <v>21000</v>
      </c>
      <c r="F361" s="17" cm="1">
        <f t="array" aca="1" ref="F361" ca="1">(Tabla1[[#This Row],[Venta Dia]]*Tabla2[Precio de venta])-(Tabla1[[#This Row],[Venta Dia]]*Tabla2[Costo Produccion])-Tabla1[[#This Row],[Déficit bodega]]</f>
        <v>19000</v>
      </c>
    </row>
    <row r="362" spans="1:6" x14ac:dyDescent="0.2">
      <c r="A362" s="7">
        <v>327</v>
      </c>
      <c r="B362" s="7">
        <f t="shared" ca="1" si="15"/>
        <v>4</v>
      </c>
      <c r="C362" s="7">
        <f t="shared" ca="1" si="16"/>
        <v>4</v>
      </c>
      <c r="D362" s="7">
        <f t="shared" ca="1" si="17"/>
        <v>42</v>
      </c>
      <c r="E362" s="17" cm="1">
        <f t="array" aca="1" ref="E362" ca="1">ABS(IF(Tabla1[[#This Row],[Bodega]]&gt;0,Tabla1[[#This Row],[Bodega]]*Tabla2[Costo unitario Inventario],Tabla1[[#This Row],[Bodega]]*Tabla2[Costo unitario Deficit]))</f>
        <v>21000</v>
      </c>
      <c r="F362" s="17" cm="1">
        <f t="array" aca="1" ref="F362" ca="1">(Tabla1[[#This Row],[Venta Dia]]*Tabla2[Precio de venta])-(Tabla1[[#This Row],[Venta Dia]]*Tabla2[Costo Produccion])-Tabla1[[#This Row],[Déficit bodega]]</f>
        <v>19000</v>
      </c>
    </row>
    <row r="363" spans="1:6" x14ac:dyDescent="0.2">
      <c r="A363" s="7">
        <v>328</v>
      </c>
      <c r="B363" s="7">
        <f t="shared" ca="1" si="15"/>
        <v>4</v>
      </c>
      <c r="C363" s="7">
        <f t="shared" ca="1" si="16"/>
        <v>5</v>
      </c>
      <c r="D363" s="7">
        <f t="shared" ca="1" si="17"/>
        <v>41</v>
      </c>
      <c r="E363" s="17" cm="1">
        <f t="array" aca="1" ref="E363" ca="1">ABS(IF(Tabla1[[#This Row],[Bodega]]&gt;0,Tabla1[[#This Row],[Bodega]]*Tabla2[Costo unitario Inventario],Tabla1[[#This Row],[Bodega]]*Tabla2[Costo unitario Deficit]))</f>
        <v>20500</v>
      </c>
      <c r="F363" s="17" cm="1">
        <f t="array" aca="1" ref="F363" ca="1">(Tabla1[[#This Row],[Venta Dia]]*Tabla2[Precio de venta])-(Tabla1[[#This Row],[Venta Dia]]*Tabla2[Costo Produccion])-Tabla1[[#This Row],[Déficit bodega]]</f>
        <v>29500</v>
      </c>
    </row>
    <row r="364" spans="1:6" x14ac:dyDescent="0.2">
      <c r="A364" s="7">
        <v>329</v>
      </c>
      <c r="B364" s="7">
        <f t="shared" ca="1" si="15"/>
        <v>4</v>
      </c>
      <c r="C364" s="7">
        <f t="shared" ca="1" si="16"/>
        <v>4</v>
      </c>
      <c r="D364" s="7">
        <f t="shared" ca="1" si="17"/>
        <v>41</v>
      </c>
      <c r="E364" s="17" cm="1">
        <f t="array" aca="1" ref="E364" ca="1">ABS(IF(Tabla1[[#This Row],[Bodega]]&gt;0,Tabla1[[#This Row],[Bodega]]*Tabla2[Costo unitario Inventario],Tabla1[[#This Row],[Bodega]]*Tabla2[Costo unitario Deficit]))</f>
        <v>20500</v>
      </c>
      <c r="F364" s="17" cm="1">
        <f t="array" aca="1" ref="F364" ca="1">(Tabla1[[#This Row],[Venta Dia]]*Tabla2[Precio de venta])-(Tabla1[[#This Row],[Venta Dia]]*Tabla2[Costo Produccion])-Tabla1[[#This Row],[Déficit bodega]]</f>
        <v>19500</v>
      </c>
    </row>
    <row r="365" spans="1:6" x14ac:dyDescent="0.2">
      <c r="A365" s="7">
        <v>330</v>
      </c>
      <c r="B365" s="7">
        <f t="shared" ca="1" si="15"/>
        <v>5</v>
      </c>
      <c r="C365" s="7">
        <f t="shared" ca="1" si="16"/>
        <v>4</v>
      </c>
      <c r="D365" s="7">
        <f t="shared" ca="1" si="17"/>
        <v>42</v>
      </c>
      <c r="E365" s="17" cm="1">
        <f t="array" aca="1" ref="E365" ca="1">ABS(IF(Tabla1[[#This Row],[Bodega]]&gt;0,Tabla1[[#This Row],[Bodega]]*Tabla2[Costo unitario Inventario],Tabla1[[#This Row],[Bodega]]*Tabla2[Costo unitario Deficit]))</f>
        <v>21000</v>
      </c>
      <c r="F365" s="17" cm="1">
        <f t="array" aca="1" ref="F365" ca="1">(Tabla1[[#This Row],[Venta Dia]]*Tabla2[Precio de venta])-(Tabla1[[#This Row],[Venta Dia]]*Tabla2[Costo Produccion])-Tabla1[[#This Row],[Déficit bodega]]</f>
        <v>19000</v>
      </c>
    </row>
    <row r="366" spans="1:6" x14ac:dyDescent="0.2">
      <c r="A366" s="7">
        <v>331</v>
      </c>
      <c r="B366" s="7">
        <f t="shared" ca="1" si="15"/>
        <v>5</v>
      </c>
      <c r="C366" s="7">
        <f t="shared" ca="1" si="16"/>
        <v>5</v>
      </c>
      <c r="D366" s="7">
        <f t="shared" ca="1" si="17"/>
        <v>42</v>
      </c>
      <c r="E366" s="17" cm="1">
        <f t="array" aca="1" ref="E366" ca="1">ABS(IF(Tabla1[[#This Row],[Bodega]]&gt;0,Tabla1[[#This Row],[Bodega]]*Tabla2[Costo unitario Inventario],Tabla1[[#This Row],[Bodega]]*Tabla2[Costo unitario Deficit]))</f>
        <v>21000</v>
      </c>
      <c r="F366" s="17" cm="1">
        <f t="array" aca="1" ref="F366" ca="1">(Tabla1[[#This Row],[Venta Dia]]*Tabla2[Precio de venta])-(Tabla1[[#This Row],[Venta Dia]]*Tabla2[Costo Produccion])-Tabla1[[#This Row],[Déficit bodega]]</f>
        <v>29000</v>
      </c>
    </row>
    <row r="367" spans="1:6" x14ac:dyDescent="0.2">
      <c r="A367" s="7">
        <v>332</v>
      </c>
      <c r="B367" s="7">
        <f t="shared" ca="1" si="15"/>
        <v>6</v>
      </c>
      <c r="C367" s="7">
        <f t="shared" ca="1" si="16"/>
        <v>4</v>
      </c>
      <c r="D367" s="7">
        <f t="shared" ca="1" si="17"/>
        <v>44</v>
      </c>
      <c r="E367" s="17" cm="1">
        <f t="array" aca="1" ref="E367" ca="1">ABS(IF(Tabla1[[#This Row],[Bodega]]&gt;0,Tabla1[[#This Row],[Bodega]]*Tabla2[Costo unitario Inventario],Tabla1[[#This Row],[Bodega]]*Tabla2[Costo unitario Deficit]))</f>
        <v>22000</v>
      </c>
      <c r="F367" s="17" cm="1">
        <f t="array" aca="1" ref="F367" ca="1">(Tabla1[[#This Row],[Venta Dia]]*Tabla2[Precio de venta])-(Tabla1[[#This Row],[Venta Dia]]*Tabla2[Costo Produccion])-Tabla1[[#This Row],[Déficit bodega]]</f>
        <v>18000</v>
      </c>
    </row>
    <row r="368" spans="1:6" x14ac:dyDescent="0.2">
      <c r="A368" s="7">
        <v>333</v>
      </c>
      <c r="B368" s="7">
        <f t="shared" ca="1" si="15"/>
        <v>7</v>
      </c>
      <c r="C368" s="7">
        <f t="shared" ca="1" si="16"/>
        <v>4</v>
      </c>
      <c r="D368" s="7">
        <f t="shared" ca="1" si="17"/>
        <v>47</v>
      </c>
      <c r="E368" s="17" cm="1">
        <f t="array" aca="1" ref="E368" ca="1">ABS(IF(Tabla1[[#This Row],[Bodega]]&gt;0,Tabla1[[#This Row],[Bodega]]*Tabla2[Costo unitario Inventario],Tabla1[[#This Row],[Bodega]]*Tabla2[Costo unitario Deficit]))</f>
        <v>23500</v>
      </c>
      <c r="F368" s="17" cm="1">
        <f t="array" aca="1" ref="F368" ca="1">(Tabla1[[#This Row],[Venta Dia]]*Tabla2[Precio de venta])-(Tabla1[[#This Row],[Venta Dia]]*Tabla2[Costo Produccion])-Tabla1[[#This Row],[Déficit bodega]]</f>
        <v>16500</v>
      </c>
    </row>
    <row r="369" spans="1:6" x14ac:dyDescent="0.2">
      <c r="A369" s="7">
        <v>334</v>
      </c>
      <c r="B369" s="7">
        <f t="shared" ca="1" si="15"/>
        <v>4</v>
      </c>
      <c r="C369" s="7">
        <f t="shared" ca="1" si="16"/>
        <v>5</v>
      </c>
      <c r="D369" s="7">
        <f t="shared" ca="1" si="17"/>
        <v>46</v>
      </c>
      <c r="E369" s="17" cm="1">
        <f t="array" aca="1" ref="E369" ca="1">ABS(IF(Tabla1[[#This Row],[Bodega]]&gt;0,Tabla1[[#This Row],[Bodega]]*Tabla2[Costo unitario Inventario],Tabla1[[#This Row],[Bodega]]*Tabla2[Costo unitario Deficit]))</f>
        <v>23000</v>
      </c>
      <c r="F369" s="17" cm="1">
        <f t="array" aca="1" ref="F369" ca="1">(Tabla1[[#This Row],[Venta Dia]]*Tabla2[Precio de venta])-(Tabla1[[#This Row],[Venta Dia]]*Tabla2[Costo Produccion])-Tabla1[[#This Row],[Déficit bodega]]</f>
        <v>27000</v>
      </c>
    </row>
    <row r="370" spans="1:6" x14ac:dyDescent="0.2">
      <c r="A370" s="7">
        <v>335</v>
      </c>
      <c r="B370" s="7">
        <f t="shared" ca="1" si="15"/>
        <v>3</v>
      </c>
      <c r="C370" s="7">
        <f t="shared" ca="1" si="16"/>
        <v>4</v>
      </c>
      <c r="D370" s="7">
        <f t="shared" ca="1" si="17"/>
        <v>45</v>
      </c>
      <c r="E370" s="17" cm="1">
        <f t="array" aca="1" ref="E370" ca="1">ABS(IF(Tabla1[[#This Row],[Bodega]]&gt;0,Tabla1[[#This Row],[Bodega]]*Tabla2[Costo unitario Inventario],Tabla1[[#This Row],[Bodega]]*Tabla2[Costo unitario Deficit]))</f>
        <v>22500</v>
      </c>
      <c r="F370" s="17" cm="1">
        <f t="array" aca="1" ref="F370" ca="1">(Tabla1[[#This Row],[Venta Dia]]*Tabla2[Precio de venta])-(Tabla1[[#This Row],[Venta Dia]]*Tabla2[Costo Produccion])-Tabla1[[#This Row],[Déficit bodega]]</f>
        <v>17500</v>
      </c>
    </row>
    <row r="371" spans="1:6" x14ac:dyDescent="0.2">
      <c r="A371" s="7">
        <v>336</v>
      </c>
      <c r="B371" s="7">
        <f t="shared" ca="1" si="15"/>
        <v>4</v>
      </c>
      <c r="C371" s="7">
        <f t="shared" ca="1" si="16"/>
        <v>4</v>
      </c>
      <c r="D371" s="7">
        <f t="shared" ca="1" si="17"/>
        <v>45</v>
      </c>
      <c r="E371" s="17" cm="1">
        <f t="array" aca="1" ref="E371" ca="1">ABS(IF(Tabla1[[#This Row],[Bodega]]&gt;0,Tabla1[[#This Row],[Bodega]]*Tabla2[Costo unitario Inventario],Tabla1[[#This Row],[Bodega]]*Tabla2[Costo unitario Deficit]))</f>
        <v>22500</v>
      </c>
      <c r="F371" s="17" cm="1">
        <f t="array" aca="1" ref="F371" ca="1">(Tabla1[[#This Row],[Venta Dia]]*Tabla2[Precio de venta])-(Tabla1[[#This Row],[Venta Dia]]*Tabla2[Costo Produccion])-Tabla1[[#This Row],[Déficit bodega]]</f>
        <v>17500</v>
      </c>
    </row>
    <row r="372" spans="1:6" x14ac:dyDescent="0.2">
      <c r="A372" s="7">
        <v>337</v>
      </c>
      <c r="B372" s="7">
        <f t="shared" ca="1" si="15"/>
        <v>7</v>
      </c>
      <c r="C372" s="7">
        <f t="shared" ca="1" si="16"/>
        <v>5</v>
      </c>
      <c r="D372" s="7">
        <f t="shared" ca="1" si="17"/>
        <v>47</v>
      </c>
      <c r="E372" s="17" cm="1">
        <f t="array" aca="1" ref="E372" ca="1">ABS(IF(Tabla1[[#This Row],[Bodega]]&gt;0,Tabla1[[#This Row],[Bodega]]*Tabla2[Costo unitario Inventario],Tabla1[[#This Row],[Bodega]]*Tabla2[Costo unitario Deficit]))</f>
        <v>23500</v>
      </c>
      <c r="F372" s="17" cm="1">
        <f t="array" aca="1" ref="F372" ca="1">(Tabla1[[#This Row],[Venta Dia]]*Tabla2[Precio de venta])-(Tabla1[[#This Row],[Venta Dia]]*Tabla2[Costo Produccion])-Tabla1[[#This Row],[Déficit bodega]]</f>
        <v>26500</v>
      </c>
    </row>
    <row r="373" spans="1:6" x14ac:dyDescent="0.2">
      <c r="A373" s="7">
        <v>338</v>
      </c>
      <c r="B373" s="7">
        <f t="shared" ca="1" si="15"/>
        <v>6</v>
      </c>
      <c r="C373" s="7">
        <f t="shared" ca="1" si="16"/>
        <v>4</v>
      </c>
      <c r="D373" s="7">
        <f t="shared" ca="1" si="17"/>
        <v>49</v>
      </c>
      <c r="E373" s="17" cm="1">
        <f t="array" aca="1" ref="E373" ca="1">ABS(IF(Tabla1[[#This Row],[Bodega]]&gt;0,Tabla1[[#This Row],[Bodega]]*Tabla2[Costo unitario Inventario],Tabla1[[#This Row],[Bodega]]*Tabla2[Costo unitario Deficit]))</f>
        <v>24500</v>
      </c>
      <c r="F373" s="17" cm="1">
        <f t="array" aca="1" ref="F373" ca="1">(Tabla1[[#This Row],[Venta Dia]]*Tabla2[Precio de venta])-(Tabla1[[#This Row],[Venta Dia]]*Tabla2[Costo Produccion])-Tabla1[[#This Row],[Déficit bodega]]</f>
        <v>15500</v>
      </c>
    </row>
    <row r="374" spans="1:6" x14ac:dyDescent="0.2">
      <c r="A374" s="7">
        <v>339</v>
      </c>
      <c r="B374" s="7">
        <f t="shared" ca="1" si="15"/>
        <v>7</v>
      </c>
      <c r="C374" s="7">
        <f t="shared" ca="1" si="16"/>
        <v>5</v>
      </c>
      <c r="D374" s="7">
        <f t="shared" ca="1" si="17"/>
        <v>51</v>
      </c>
      <c r="E374" s="17" cm="1">
        <f t="array" aca="1" ref="E374" ca="1">ABS(IF(Tabla1[[#This Row],[Bodega]]&gt;0,Tabla1[[#This Row],[Bodega]]*Tabla2[Costo unitario Inventario],Tabla1[[#This Row],[Bodega]]*Tabla2[Costo unitario Deficit]))</f>
        <v>25500</v>
      </c>
      <c r="F374" s="17" cm="1">
        <f t="array" aca="1" ref="F374" ca="1">(Tabla1[[#This Row],[Venta Dia]]*Tabla2[Precio de venta])-(Tabla1[[#This Row],[Venta Dia]]*Tabla2[Costo Produccion])-Tabla1[[#This Row],[Déficit bodega]]</f>
        <v>24500</v>
      </c>
    </row>
    <row r="375" spans="1:6" x14ac:dyDescent="0.2">
      <c r="A375" s="7">
        <v>340</v>
      </c>
      <c r="B375" s="7">
        <f t="shared" ca="1" si="15"/>
        <v>6</v>
      </c>
      <c r="C375" s="7">
        <f t="shared" ca="1" si="16"/>
        <v>4</v>
      </c>
      <c r="D375" s="7">
        <f t="shared" ca="1" si="17"/>
        <v>53</v>
      </c>
      <c r="E375" s="17" cm="1">
        <f t="array" aca="1" ref="E375" ca="1">ABS(IF(Tabla1[[#This Row],[Bodega]]&gt;0,Tabla1[[#This Row],[Bodega]]*Tabla2[Costo unitario Inventario],Tabla1[[#This Row],[Bodega]]*Tabla2[Costo unitario Deficit]))</f>
        <v>26500</v>
      </c>
      <c r="F375" s="17" cm="1">
        <f t="array" aca="1" ref="F375" ca="1">(Tabla1[[#This Row],[Venta Dia]]*Tabla2[Precio de venta])-(Tabla1[[#This Row],[Venta Dia]]*Tabla2[Costo Produccion])-Tabla1[[#This Row],[Déficit bodega]]</f>
        <v>13500</v>
      </c>
    </row>
    <row r="376" spans="1:6" x14ac:dyDescent="0.2">
      <c r="A376" s="7">
        <v>341</v>
      </c>
      <c r="B376" s="7">
        <f t="shared" ca="1" si="15"/>
        <v>3</v>
      </c>
      <c r="C376" s="7">
        <f t="shared" ca="1" si="16"/>
        <v>4</v>
      </c>
      <c r="D376" s="7">
        <f t="shared" ca="1" si="17"/>
        <v>52</v>
      </c>
      <c r="E376" s="17" cm="1">
        <f t="array" aca="1" ref="E376" ca="1">ABS(IF(Tabla1[[#This Row],[Bodega]]&gt;0,Tabla1[[#This Row],[Bodega]]*Tabla2[Costo unitario Inventario],Tabla1[[#This Row],[Bodega]]*Tabla2[Costo unitario Deficit]))</f>
        <v>26000</v>
      </c>
      <c r="F376" s="17" cm="1">
        <f t="array" aca="1" ref="F376" ca="1">(Tabla1[[#This Row],[Venta Dia]]*Tabla2[Precio de venta])-(Tabla1[[#This Row],[Venta Dia]]*Tabla2[Costo Produccion])-Tabla1[[#This Row],[Déficit bodega]]</f>
        <v>14000</v>
      </c>
    </row>
    <row r="377" spans="1:6" x14ac:dyDescent="0.2">
      <c r="A377" s="7">
        <v>342</v>
      </c>
      <c r="B377" s="7">
        <f t="shared" ca="1" si="15"/>
        <v>6</v>
      </c>
      <c r="C377" s="7">
        <f t="shared" ca="1" si="16"/>
        <v>4</v>
      </c>
      <c r="D377" s="7">
        <f t="shared" ca="1" si="17"/>
        <v>54</v>
      </c>
      <c r="E377" s="17" cm="1">
        <f t="array" aca="1" ref="E377" ca="1">ABS(IF(Tabla1[[#This Row],[Bodega]]&gt;0,Tabla1[[#This Row],[Bodega]]*Tabla2[Costo unitario Inventario],Tabla1[[#This Row],[Bodega]]*Tabla2[Costo unitario Deficit]))</f>
        <v>27000</v>
      </c>
      <c r="F377" s="17" cm="1">
        <f t="array" aca="1" ref="F377" ca="1">(Tabla1[[#This Row],[Venta Dia]]*Tabla2[Precio de venta])-(Tabla1[[#This Row],[Venta Dia]]*Tabla2[Costo Produccion])-Tabla1[[#This Row],[Déficit bodega]]</f>
        <v>13000</v>
      </c>
    </row>
    <row r="378" spans="1:6" x14ac:dyDescent="0.2">
      <c r="A378" s="7">
        <v>343</v>
      </c>
      <c r="B378" s="7">
        <f t="shared" ca="1" si="15"/>
        <v>7</v>
      </c>
      <c r="C378" s="7">
        <f t="shared" ca="1" si="16"/>
        <v>5</v>
      </c>
      <c r="D378" s="7">
        <f t="shared" ca="1" si="17"/>
        <v>56</v>
      </c>
      <c r="E378" s="17" cm="1">
        <f t="array" aca="1" ref="E378" ca="1">ABS(IF(Tabla1[[#This Row],[Bodega]]&gt;0,Tabla1[[#This Row],[Bodega]]*Tabla2[Costo unitario Inventario],Tabla1[[#This Row],[Bodega]]*Tabla2[Costo unitario Deficit]))</f>
        <v>28000</v>
      </c>
      <c r="F378" s="17" cm="1">
        <f t="array" aca="1" ref="F378" ca="1">(Tabla1[[#This Row],[Venta Dia]]*Tabla2[Precio de venta])-(Tabla1[[#This Row],[Venta Dia]]*Tabla2[Costo Produccion])-Tabla1[[#This Row],[Déficit bodega]]</f>
        <v>22000</v>
      </c>
    </row>
    <row r="379" spans="1:6" x14ac:dyDescent="0.2">
      <c r="A379" s="7">
        <v>344</v>
      </c>
      <c r="B379" s="7">
        <f t="shared" ca="1" si="15"/>
        <v>6</v>
      </c>
      <c r="C379" s="7">
        <f t="shared" ca="1" si="16"/>
        <v>5</v>
      </c>
      <c r="D379" s="7">
        <f t="shared" ca="1" si="17"/>
        <v>57</v>
      </c>
      <c r="E379" s="17" cm="1">
        <f t="array" aca="1" ref="E379" ca="1">ABS(IF(Tabla1[[#This Row],[Bodega]]&gt;0,Tabla1[[#This Row],[Bodega]]*Tabla2[Costo unitario Inventario],Tabla1[[#This Row],[Bodega]]*Tabla2[Costo unitario Deficit]))</f>
        <v>28500</v>
      </c>
      <c r="F379" s="17" cm="1">
        <f t="array" aca="1" ref="F379" ca="1">(Tabla1[[#This Row],[Venta Dia]]*Tabla2[Precio de venta])-(Tabla1[[#This Row],[Venta Dia]]*Tabla2[Costo Produccion])-Tabla1[[#This Row],[Déficit bodega]]</f>
        <v>21500</v>
      </c>
    </row>
    <row r="380" spans="1:6" x14ac:dyDescent="0.2">
      <c r="A380" s="7">
        <v>345</v>
      </c>
      <c r="B380" s="7">
        <f t="shared" ca="1" si="15"/>
        <v>4</v>
      </c>
      <c r="C380" s="7">
        <f t="shared" ca="1" si="16"/>
        <v>5</v>
      </c>
      <c r="D380" s="7">
        <f t="shared" ca="1" si="17"/>
        <v>56</v>
      </c>
      <c r="E380" s="17" cm="1">
        <f t="array" aca="1" ref="E380" ca="1">ABS(IF(Tabla1[[#This Row],[Bodega]]&gt;0,Tabla1[[#This Row],[Bodega]]*Tabla2[Costo unitario Inventario],Tabla1[[#This Row],[Bodega]]*Tabla2[Costo unitario Deficit]))</f>
        <v>28000</v>
      </c>
      <c r="F380" s="17" cm="1">
        <f t="array" aca="1" ref="F380" ca="1">(Tabla1[[#This Row],[Venta Dia]]*Tabla2[Precio de venta])-(Tabla1[[#This Row],[Venta Dia]]*Tabla2[Costo Produccion])-Tabla1[[#This Row],[Déficit bodega]]</f>
        <v>22000</v>
      </c>
    </row>
    <row r="381" spans="1:6" x14ac:dyDescent="0.2">
      <c r="A381" s="7">
        <v>346</v>
      </c>
      <c r="B381" s="7">
        <f t="shared" ca="1" si="15"/>
        <v>6</v>
      </c>
      <c r="C381" s="7">
        <f t="shared" ca="1" si="16"/>
        <v>6</v>
      </c>
      <c r="D381" s="7">
        <f t="shared" ca="1" si="17"/>
        <v>56</v>
      </c>
      <c r="E381" s="17" cm="1">
        <f t="array" aca="1" ref="E381" ca="1">ABS(IF(Tabla1[[#This Row],[Bodega]]&gt;0,Tabla1[[#This Row],[Bodega]]*Tabla2[Costo unitario Inventario],Tabla1[[#This Row],[Bodega]]*Tabla2[Costo unitario Deficit]))</f>
        <v>28000</v>
      </c>
      <c r="F381" s="17" cm="1">
        <f t="array" aca="1" ref="F381" ca="1">(Tabla1[[#This Row],[Venta Dia]]*Tabla2[Precio de venta])-(Tabla1[[#This Row],[Venta Dia]]*Tabla2[Costo Produccion])-Tabla1[[#This Row],[Déficit bodega]]</f>
        <v>32000</v>
      </c>
    </row>
    <row r="382" spans="1:6" x14ac:dyDescent="0.2">
      <c r="A382" s="7">
        <v>347</v>
      </c>
      <c r="B382" s="7">
        <f t="shared" ca="1" si="15"/>
        <v>6</v>
      </c>
      <c r="C382" s="7">
        <f t="shared" ca="1" si="16"/>
        <v>4</v>
      </c>
      <c r="D382" s="7">
        <f t="shared" ca="1" si="17"/>
        <v>58</v>
      </c>
      <c r="E382" s="17" cm="1">
        <f t="array" aca="1" ref="E382" ca="1">ABS(IF(Tabla1[[#This Row],[Bodega]]&gt;0,Tabla1[[#This Row],[Bodega]]*Tabla2[Costo unitario Inventario],Tabla1[[#This Row],[Bodega]]*Tabla2[Costo unitario Deficit]))</f>
        <v>29000</v>
      </c>
      <c r="F382" s="17" cm="1">
        <f t="array" aca="1" ref="F382" ca="1">(Tabla1[[#This Row],[Venta Dia]]*Tabla2[Precio de venta])-(Tabla1[[#This Row],[Venta Dia]]*Tabla2[Costo Produccion])-Tabla1[[#This Row],[Déficit bodega]]</f>
        <v>11000</v>
      </c>
    </row>
    <row r="383" spans="1:6" x14ac:dyDescent="0.2">
      <c r="A383" s="7">
        <v>348</v>
      </c>
      <c r="B383" s="7">
        <f t="shared" ca="1" si="15"/>
        <v>6</v>
      </c>
      <c r="C383" s="7">
        <f t="shared" ca="1" si="16"/>
        <v>4</v>
      </c>
      <c r="D383" s="7">
        <f t="shared" ca="1" si="17"/>
        <v>60</v>
      </c>
      <c r="E383" s="17" cm="1">
        <f t="array" aca="1" ref="E383" ca="1">ABS(IF(Tabla1[[#This Row],[Bodega]]&gt;0,Tabla1[[#This Row],[Bodega]]*Tabla2[Costo unitario Inventario],Tabla1[[#This Row],[Bodega]]*Tabla2[Costo unitario Deficit]))</f>
        <v>30000</v>
      </c>
      <c r="F383" s="17" cm="1">
        <f t="array" aca="1" ref="F383" ca="1">(Tabla1[[#This Row],[Venta Dia]]*Tabla2[Precio de venta])-(Tabla1[[#This Row],[Venta Dia]]*Tabla2[Costo Produccion])-Tabla1[[#This Row],[Déficit bodega]]</f>
        <v>10000</v>
      </c>
    </row>
    <row r="384" spans="1:6" x14ac:dyDescent="0.2">
      <c r="A384" s="7">
        <v>349</v>
      </c>
      <c r="B384" s="7">
        <f t="shared" ca="1" si="15"/>
        <v>5</v>
      </c>
      <c r="C384" s="7">
        <f t="shared" ca="1" si="16"/>
        <v>5</v>
      </c>
      <c r="D384" s="7">
        <f t="shared" ca="1" si="17"/>
        <v>60</v>
      </c>
      <c r="E384" s="17" cm="1">
        <f t="array" aca="1" ref="E384" ca="1">ABS(IF(Tabla1[[#This Row],[Bodega]]&gt;0,Tabla1[[#This Row],[Bodega]]*Tabla2[Costo unitario Inventario],Tabla1[[#This Row],[Bodega]]*Tabla2[Costo unitario Deficit]))</f>
        <v>30000</v>
      </c>
      <c r="F384" s="17" cm="1">
        <f t="array" aca="1" ref="F384" ca="1">(Tabla1[[#This Row],[Venta Dia]]*Tabla2[Precio de venta])-(Tabla1[[#This Row],[Venta Dia]]*Tabla2[Costo Produccion])-Tabla1[[#This Row],[Déficit bodega]]</f>
        <v>20000</v>
      </c>
    </row>
    <row r="385" spans="1:6" x14ac:dyDescent="0.2">
      <c r="A385" s="7">
        <v>350</v>
      </c>
      <c r="B385" s="7">
        <f t="shared" ca="1" si="15"/>
        <v>3</v>
      </c>
      <c r="C385" s="7">
        <f t="shared" ca="1" si="16"/>
        <v>6</v>
      </c>
      <c r="D385" s="7">
        <f t="shared" ca="1" si="17"/>
        <v>57</v>
      </c>
      <c r="E385" s="17" cm="1">
        <f t="array" aca="1" ref="E385" ca="1">ABS(IF(Tabla1[[#This Row],[Bodega]]&gt;0,Tabla1[[#This Row],[Bodega]]*Tabla2[Costo unitario Inventario],Tabla1[[#This Row],[Bodega]]*Tabla2[Costo unitario Deficit]))</f>
        <v>28500</v>
      </c>
      <c r="F385" s="17" cm="1">
        <f t="array" aca="1" ref="F385" ca="1">(Tabla1[[#This Row],[Venta Dia]]*Tabla2[Precio de venta])-(Tabla1[[#This Row],[Venta Dia]]*Tabla2[Costo Produccion])-Tabla1[[#This Row],[Déficit bodega]]</f>
        <v>31500</v>
      </c>
    </row>
    <row r="386" spans="1:6" x14ac:dyDescent="0.2">
      <c r="A386" s="7">
        <v>351</v>
      </c>
      <c r="B386" s="7">
        <f t="shared" ca="1" si="15"/>
        <v>3</v>
      </c>
      <c r="C386" s="7">
        <f t="shared" ca="1" si="16"/>
        <v>5</v>
      </c>
      <c r="D386" s="7">
        <f t="shared" ca="1" si="17"/>
        <v>55</v>
      </c>
      <c r="E386" s="17" cm="1">
        <f t="array" aca="1" ref="E386" ca="1">ABS(IF(Tabla1[[#This Row],[Bodega]]&gt;0,Tabla1[[#This Row],[Bodega]]*Tabla2[Costo unitario Inventario],Tabla1[[#This Row],[Bodega]]*Tabla2[Costo unitario Deficit]))</f>
        <v>27500</v>
      </c>
      <c r="F386" s="17" cm="1">
        <f t="array" aca="1" ref="F386" ca="1">(Tabla1[[#This Row],[Venta Dia]]*Tabla2[Precio de venta])-(Tabla1[[#This Row],[Venta Dia]]*Tabla2[Costo Produccion])-Tabla1[[#This Row],[Déficit bodega]]</f>
        <v>22500</v>
      </c>
    </row>
    <row r="387" spans="1:6" x14ac:dyDescent="0.2">
      <c r="A387" s="7">
        <v>352</v>
      </c>
      <c r="B387" s="7">
        <f t="shared" ca="1" si="15"/>
        <v>5</v>
      </c>
      <c r="C387" s="7">
        <f t="shared" ca="1" si="16"/>
        <v>4</v>
      </c>
      <c r="D387" s="7">
        <f t="shared" ca="1" si="17"/>
        <v>56</v>
      </c>
      <c r="E387" s="17" cm="1">
        <f t="array" aca="1" ref="E387" ca="1">ABS(IF(Tabla1[[#This Row],[Bodega]]&gt;0,Tabla1[[#This Row],[Bodega]]*Tabla2[Costo unitario Inventario],Tabla1[[#This Row],[Bodega]]*Tabla2[Costo unitario Deficit]))</f>
        <v>28000</v>
      </c>
      <c r="F387" s="17" cm="1">
        <f t="array" aca="1" ref="F387" ca="1">(Tabla1[[#This Row],[Venta Dia]]*Tabla2[Precio de venta])-(Tabla1[[#This Row],[Venta Dia]]*Tabla2[Costo Produccion])-Tabla1[[#This Row],[Déficit bodega]]</f>
        <v>12000</v>
      </c>
    </row>
    <row r="388" spans="1:6" x14ac:dyDescent="0.2">
      <c r="A388" s="7">
        <v>353</v>
      </c>
      <c r="B388" s="7">
        <f t="shared" ca="1" si="15"/>
        <v>3</v>
      </c>
      <c r="C388" s="7">
        <f t="shared" ca="1" si="16"/>
        <v>5</v>
      </c>
      <c r="D388" s="7">
        <f t="shared" ca="1" si="17"/>
        <v>54</v>
      </c>
      <c r="E388" s="17" cm="1">
        <f t="array" aca="1" ref="E388" ca="1">ABS(IF(Tabla1[[#This Row],[Bodega]]&gt;0,Tabla1[[#This Row],[Bodega]]*Tabla2[Costo unitario Inventario],Tabla1[[#This Row],[Bodega]]*Tabla2[Costo unitario Deficit]))</f>
        <v>27000</v>
      </c>
      <c r="F388" s="17" cm="1">
        <f t="array" aca="1" ref="F388" ca="1">(Tabla1[[#This Row],[Venta Dia]]*Tabla2[Precio de venta])-(Tabla1[[#This Row],[Venta Dia]]*Tabla2[Costo Produccion])-Tabla1[[#This Row],[Déficit bodega]]</f>
        <v>23000</v>
      </c>
    </row>
    <row r="389" spans="1:6" x14ac:dyDescent="0.2">
      <c r="A389" s="7">
        <v>354</v>
      </c>
      <c r="B389" s="7">
        <f t="shared" ca="1" si="15"/>
        <v>4</v>
      </c>
      <c r="C389" s="7">
        <f t="shared" ca="1" si="16"/>
        <v>4</v>
      </c>
      <c r="D389" s="7">
        <f t="shared" ca="1" si="17"/>
        <v>54</v>
      </c>
      <c r="E389" s="17" cm="1">
        <f t="array" aca="1" ref="E389" ca="1">ABS(IF(Tabla1[[#This Row],[Bodega]]&gt;0,Tabla1[[#This Row],[Bodega]]*Tabla2[Costo unitario Inventario],Tabla1[[#This Row],[Bodega]]*Tabla2[Costo unitario Deficit]))</f>
        <v>27000</v>
      </c>
      <c r="F389" s="17" cm="1">
        <f t="array" aca="1" ref="F389" ca="1">(Tabla1[[#This Row],[Venta Dia]]*Tabla2[Precio de venta])-(Tabla1[[#This Row],[Venta Dia]]*Tabla2[Costo Produccion])-Tabla1[[#This Row],[Déficit bodega]]</f>
        <v>13000</v>
      </c>
    </row>
    <row r="390" spans="1:6" x14ac:dyDescent="0.2">
      <c r="A390" s="7">
        <v>355</v>
      </c>
      <c r="B390" s="7">
        <f t="shared" ca="1" si="15"/>
        <v>4</v>
      </c>
      <c r="C390" s="7">
        <f t="shared" ca="1" si="16"/>
        <v>4</v>
      </c>
      <c r="D390" s="7">
        <f t="shared" ca="1" si="17"/>
        <v>54</v>
      </c>
      <c r="E390" s="17" cm="1">
        <f t="array" aca="1" ref="E390" ca="1">ABS(IF(Tabla1[[#This Row],[Bodega]]&gt;0,Tabla1[[#This Row],[Bodega]]*Tabla2[Costo unitario Inventario],Tabla1[[#This Row],[Bodega]]*Tabla2[Costo unitario Deficit]))</f>
        <v>27000</v>
      </c>
      <c r="F390" s="17" cm="1">
        <f t="array" aca="1" ref="F390" ca="1">(Tabla1[[#This Row],[Venta Dia]]*Tabla2[Precio de venta])-(Tabla1[[#This Row],[Venta Dia]]*Tabla2[Costo Produccion])-Tabla1[[#This Row],[Déficit bodega]]</f>
        <v>13000</v>
      </c>
    </row>
    <row r="391" spans="1:6" x14ac:dyDescent="0.2">
      <c r="A391" s="7">
        <v>356</v>
      </c>
      <c r="B391" s="7">
        <f t="shared" ca="1" si="15"/>
        <v>6</v>
      </c>
      <c r="C391" s="7">
        <f t="shared" ca="1" si="16"/>
        <v>5</v>
      </c>
      <c r="D391" s="7">
        <f t="shared" ca="1" si="17"/>
        <v>55</v>
      </c>
      <c r="E391" s="17" cm="1">
        <f t="array" aca="1" ref="E391" ca="1">ABS(IF(Tabla1[[#This Row],[Bodega]]&gt;0,Tabla1[[#This Row],[Bodega]]*Tabla2[Costo unitario Inventario],Tabla1[[#This Row],[Bodega]]*Tabla2[Costo unitario Deficit]))</f>
        <v>27500</v>
      </c>
      <c r="F391" s="17" cm="1">
        <f t="array" aca="1" ref="F391" ca="1">(Tabla1[[#This Row],[Venta Dia]]*Tabla2[Precio de venta])-(Tabla1[[#This Row],[Venta Dia]]*Tabla2[Costo Produccion])-Tabla1[[#This Row],[Déficit bodega]]</f>
        <v>22500</v>
      </c>
    </row>
    <row r="392" spans="1:6" x14ac:dyDescent="0.2">
      <c r="A392" s="7">
        <v>357</v>
      </c>
      <c r="B392" s="7">
        <f t="shared" ca="1" si="15"/>
        <v>7</v>
      </c>
      <c r="C392" s="7">
        <f t="shared" ca="1" si="16"/>
        <v>4</v>
      </c>
      <c r="D392" s="7">
        <f t="shared" ca="1" si="17"/>
        <v>58</v>
      </c>
      <c r="E392" s="17" cm="1">
        <f t="array" aca="1" ref="E392" ca="1">ABS(IF(Tabla1[[#This Row],[Bodega]]&gt;0,Tabla1[[#This Row],[Bodega]]*Tabla2[Costo unitario Inventario],Tabla1[[#This Row],[Bodega]]*Tabla2[Costo unitario Deficit]))</f>
        <v>29000</v>
      </c>
      <c r="F392" s="17" cm="1">
        <f t="array" aca="1" ref="F392" ca="1">(Tabla1[[#This Row],[Venta Dia]]*Tabla2[Precio de venta])-(Tabla1[[#This Row],[Venta Dia]]*Tabla2[Costo Produccion])-Tabla1[[#This Row],[Déficit bodega]]</f>
        <v>11000</v>
      </c>
    </row>
    <row r="393" spans="1:6" x14ac:dyDescent="0.2">
      <c r="A393" s="7">
        <v>358</v>
      </c>
      <c r="B393" s="7">
        <f t="shared" ca="1" si="15"/>
        <v>5</v>
      </c>
      <c r="C393" s="7">
        <f t="shared" ca="1" si="16"/>
        <v>6</v>
      </c>
      <c r="D393" s="7">
        <f t="shared" ca="1" si="17"/>
        <v>57</v>
      </c>
      <c r="E393" s="17" cm="1">
        <f t="array" aca="1" ref="E393" ca="1">ABS(IF(Tabla1[[#This Row],[Bodega]]&gt;0,Tabla1[[#This Row],[Bodega]]*Tabla2[Costo unitario Inventario],Tabla1[[#This Row],[Bodega]]*Tabla2[Costo unitario Deficit]))</f>
        <v>28500</v>
      </c>
      <c r="F393" s="17" cm="1">
        <f t="array" aca="1" ref="F393" ca="1">(Tabla1[[#This Row],[Venta Dia]]*Tabla2[Precio de venta])-(Tabla1[[#This Row],[Venta Dia]]*Tabla2[Costo Produccion])-Tabla1[[#This Row],[Déficit bodega]]</f>
        <v>31500</v>
      </c>
    </row>
    <row r="394" spans="1:6" x14ac:dyDescent="0.2">
      <c r="A394" s="7">
        <v>359</v>
      </c>
      <c r="B394" s="7">
        <f t="shared" ca="1" si="15"/>
        <v>4</v>
      </c>
      <c r="C394" s="7">
        <f t="shared" ca="1" si="16"/>
        <v>4</v>
      </c>
      <c r="D394" s="7">
        <f t="shared" ca="1" si="17"/>
        <v>57</v>
      </c>
      <c r="E394" s="17" cm="1">
        <f t="array" aca="1" ref="E394" ca="1">ABS(IF(Tabla1[[#This Row],[Bodega]]&gt;0,Tabla1[[#This Row],[Bodega]]*Tabla2[Costo unitario Inventario],Tabla1[[#This Row],[Bodega]]*Tabla2[Costo unitario Deficit]))</f>
        <v>28500</v>
      </c>
      <c r="F394" s="17" cm="1">
        <f t="array" aca="1" ref="F394" ca="1">(Tabla1[[#This Row],[Venta Dia]]*Tabla2[Precio de venta])-(Tabla1[[#This Row],[Venta Dia]]*Tabla2[Costo Produccion])-Tabla1[[#This Row],[Déficit bodega]]</f>
        <v>11500</v>
      </c>
    </row>
    <row r="395" spans="1:6" x14ac:dyDescent="0.2">
      <c r="A395" s="7">
        <v>360</v>
      </c>
      <c r="B395" s="7">
        <f t="shared" ca="1" si="15"/>
        <v>5</v>
      </c>
      <c r="C395" s="7">
        <f t="shared" ca="1" si="16"/>
        <v>5</v>
      </c>
      <c r="D395" s="7">
        <f t="shared" ca="1" si="17"/>
        <v>57</v>
      </c>
      <c r="E395" s="17" cm="1">
        <f t="array" aca="1" ref="E395" ca="1">ABS(IF(Tabla1[[#This Row],[Bodega]]&gt;0,Tabla1[[#This Row],[Bodega]]*Tabla2[Costo unitario Inventario],Tabla1[[#This Row],[Bodega]]*Tabla2[Costo unitario Deficit]))</f>
        <v>28500</v>
      </c>
      <c r="F395" s="17" cm="1">
        <f t="array" aca="1" ref="F395" ca="1">(Tabla1[[#This Row],[Venta Dia]]*Tabla2[Precio de venta])-(Tabla1[[#This Row],[Venta Dia]]*Tabla2[Costo Produccion])-Tabla1[[#This Row],[Déficit bodega]]</f>
        <v>21500</v>
      </c>
    </row>
    <row r="396" spans="1:6" x14ac:dyDescent="0.2">
      <c r="A396" s="7">
        <v>361</v>
      </c>
      <c r="B396" s="7">
        <f t="shared" ca="1" si="15"/>
        <v>3</v>
      </c>
      <c r="C396" s="7">
        <f t="shared" ca="1" si="16"/>
        <v>4</v>
      </c>
      <c r="D396" s="7">
        <f t="shared" ca="1" si="17"/>
        <v>56</v>
      </c>
      <c r="E396" s="17" cm="1">
        <f t="array" aca="1" ref="E396" ca="1">ABS(IF(Tabla1[[#This Row],[Bodega]]&gt;0,Tabla1[[#This Row],[Bodega]]*Tabla2[Costo unitario Inventario],Tabla1[[#This Row],[Bodega]]*Tabla2[Costo unitario Deficit]))</f>
        <v>28000</v>
      </c>
      <c r="F396" s="17" cm="1">
        <f t="array" aca="1" ref="F396" ca="1">(Tabla1[[#This Row],[Venta Dia]]*Tabla2[Precio de venta])-(Tabla1[[#This Row],[Venta Dia]]*Tabla2[Costo Produccion])-Tabla1[[#This Row],[Déficit bodega]]</f>
        <v>12000</v>
      </c>
    </row>
    <row r="397" spans="1:6" x14ac:dyDescent="0.2">
      <c r="A397" s="7">
        <v>362</v>
      </c>
      <c r="B397" s="7">
        <f t="shared" ca="1" si="15"/>
        <v>7</v>
      </c>
      <c r="C397" s="7">
        <f t="shared" ca="1" si="16"/>
        <v>5</v>
      </c>
      <c r="D397" s="7">
        <f t="shared" ca="1" si="17"/>
        <v>58</v>
      </c>
      <c r="E397" s="17" cm="1">
        <f t="array" aca="1" ref="E397" ca="1">ABS(IF(Tabla1[[#This Row],[Bodega]]&gt;0,Tabla1[[#This Row],[Bodega]]*Tabla2[Costo unitario Inventario],Tabla1[[#This Row],[Bodega]]*Tabla2[Costo unitario Deficit]))</f>
        <v>29000</v>
      </c>
      <c r="F397" s="17" cm="1">
        <f t="array" aca="1" ref="F397" ca="1">(Tabla1[[#This Row],[Venta Dia]]*Tabla2[Precio de venta])-(Tabla1[[#This Row],[Venta Dia]]*Tabla2[Costo Produccion])-Tabla1[[#This Row],[Déficit bodega]]</f>
        <v>21000</v>
      </c>
    </row>
    <row r="398" spans="1:6" x14ac:dyDescent="0.2">
      <c r="A398" s="7">
        <v>363</v>
      </c>
      <c r="B398" s="7">
        <f t="shared" ca="1" si="15"/>
        <v>3</v>
      </c>
      <c r="C398" s="7">
        <f t="shared" ca="1" si="16"/>
        <v>4</v>
      </c>
      <c r="D398" s="7">
        <f t="shared" ca="1" si="17"/>
        <v>57</v>
      </c>
      <c r="E398" s="17" cm="1">
        <f t="array" aca="1" ref="E398" ca="1">ABS(IF(Tabla1[[#This Row],[Bodega]]&gt;0,Tabla1[[#This Row],[Bodega]]*Tabla2[Costo unitario Inventario],Tabla1[[#This Row],[Bodega]]*Tabla2[Costo unitario Deficit]))</f>
        <v>28500</v>
      </c>
      <c r="F398" s="17" cm="1">
        <f t="array" aca="1" ref="F398" ca="1">(Tabla1[[#This Row],[Venta Dia]]*Tabla2[Precio de venta])-(Tabla1[[#This Row],[Venta Dia]]*Tabla2[Costo Produccion])-Tabla1[[#This Row],[Déficit bodega]]</f>
        <v>11500</v>
      </c>
    </row>
    <row r="399" spans="1:6" x14ac:dyDescent="0.2">
      <c r="A399" s="7">
        <v>364</v>
      </c>
      <c r="B399" s="7">
        <f t="shared" ca="1" si="15"/>
        <v>7</v>
      </c>
      <c r="C399" s="7">
        <f t="shared" ca="1" si="16"/>
        <v>5</v>
      </c>
      <c r="D399" s="7">
        <f t="shared" ca="1" si="17"/>
        <v>59</v>
      </c>
      <c r="E399" s="17" cm="1">
        <f t="array" aca="1" ref="E399" ca="1">ABS(IF(Tabla1[[#This Row],[Bodega]]&gt;0,Tabla1[[#This Row],[Bodega]]*Tabla2[Costo unitario Inventario],Tabla1[[#This Row],[Bodega]]*Tabla2[Costo unitario Deficit]))</f>
        <v>29500</v>
      </c>
      <c r="F399" s="17" cm="1">
        <f t="array" aca="1" ref="F399" ca="1">(Tabla1[[#This Row],[Venta Dia]]*Tabla2[Precio de venta])-(Tabla1[[#This Row],[Venta Dia]]*Tabla2[Costo Produccion])-Tabla1[[#This Row],[Déficit bodega]]</f>
        <v>20500</v>
      </c>
    </row>
    <row r="400" spans="1:6" x14ac:dyDescent="0.2">
      <c r="A400" s="7">
        <v>365</v>
      </c>
      <c r="B400" s="7">
        <f t="shared" ca="1" si="15"/>
        <v>5</v>
      </c>
      <c r="C400" s="7">
        <f t="shared" ca="1" si="16"/>
        <v>6</v>
      </c>
      <c r="D400" s="7">
        <f t="shared" ca="1" si="17"/>
        <v>58</v>
      </c>
      <c r="E400" s="17" cm="1">
        <f t="array" aca="1" ref="E400" ca="1">ABS(IF(Tabla1[[#This Row],[Bodega]]&gt;0,Tabla1[[#This Row],[Bodega]]*Tabla2[Costo unitario Inventario],Tabla1[[#This Row],[Bodega]]*Tabla2[Costo unitario Deficit]))</f>
        <v>29000</v>
      </c>
      <c r="F400" s="17" cm="1">
        <f t="array" aca="1" ref="F400" ca="1">(Tabla1[[#This Row],[Venta Dia]]*Tabla2[Precio de venta])-(Tabla1[[#This Row],[Venta Dia]]*Tabla2[Costo Produccion])-Tabla1[[#This Row],[Déficit bodega]]</f>
        <v>31000</v>
      </c>
    </row>
  </sheetData>
  <mergeCells count="1">
    <mergeCell ref="A31:B31"/>
  </mergeCells>
  <phoneticPr fontId="6" type="noConversion"/>
  <pageMargins left="0.7" right="0.7" top="0.75" bottom="0.75" header="0.3" footer="0.3"/>
  <ignoredErrors>
    <ignoredError sqref="D36" calculatedColumn="1"/>
  </ignoredErrors>
  <drawing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7CC56-7265-6E49-B562-A7F9E3C5F6B4}">
  <dimension ref="A2:G66"/>
  <sheetViews>
    <sheetView tabSelected="1" workbookViewId="0">
      <selection activeCell="I14" sqref="I14"/>
    </sheetView>
  </sheetViews>
  <sheetFormatPr baseColWidth="10" defaultRowHeight="15" x14ac:dyDescent="0.2"/>
  <cols>
    <col min="1" max="1" width="36.33203125" style="7" customWidth="1"/>
    <col min="2" max="2" width="30.6640625" style="7" customWidth="1"/>
    <col min="3" max="3" width="27.33203125" customWidth="1"/>
    <col min="4" max="4" width="15" customWidth="1"/>
    <col min="5" max="5" width="20.83203125" customWidth="1"/>
  </cols>
  <sheetData>
    <row r="2" spans="1:7" ht="21" x14ac:dyDescent="0.25">
      <c r="A2" s="29" t="s">
        <v>37</v>
      </c>
      <c r="B2" s="29" t="s">
        <v>38</v>
      </c>
    </row>
    <row r="3" spans="1:7" ht="21" x14ac:dyDescent="0.25">
      <c r="A3" s="29" t="s">
        <v>30</v>
      </c>
      <c r="B3" s="29">
        <v>50</v>
      </c>
    </row>
    <row r="4" spans="1:7" ht="21" x14ac:dyDescent="0.25">
      <c r="A4" s="29" t="s">
        <v>31</v>
      </c>
      <c r="B4" s="30" t="s">
        <v>32</v>
      </c>
    </row>
    <row r="5" spans="1:7" ht="21" x14ac:dyDescent="0.25">
      <c r="A5" s="29" t="s">
        <v>33</v>
      </c>
      <c r="B5" s="29" t="s">
        <v>34</v>
      </c>
    </row>
    <row r="6" spans="1:7" ht="21" x14ac:dyDescent="0.25">
      <c r="A6" s="29" t="s">
        <v>35</v>
      </c>
      <c r="B6" s="29" t="s">
        <v>36</v>
      </c>
    </row>
    <row r="7" spans="1:7" ht="21" x14ac:dyDescent="0.25">
      <c r="A7" s="29" t="s">
        <v>39</v>
      </c>
      <c r="B7" s="29" t="s">
        <v>40</v>
      </c>
    </row>
    <row r="8" spans="1:7" ht="21" x14ac:dyDescent="0.25">
      <c r="A8" s="29" t="s">
        <v>41</v>
      </c>
      <c r="B8" s="29" t="s">
        <v>42</v>
      </c>
    </row>
    <row r="9" spans="1:7" ht="21" x14ac:dyDescent="0.25">
      <c r="A9" s="29" t="s">
        <v>43</v>
      </c>
      <c r="B9" s="29">
        <v>0</v>
      </c>
    </row>
    <row r="10" spans="1:7" ht="21" x14ac:dyDescent="0.25">
      <c r="A10" s="29" t="s">
        <v>44</v>
      </c>
      <c r="B10" s="29">
        <v>0</v>
      </c>
    </row>
    <row r="14" spans="1:7" ht="48" x14ac:dyDescent="0.2">
      <c r="A14" s="59" t="s">
        <v>56</v>
      </c>
      <c r="B14" s="59" t="s">
        <v>57</v>
      </c>
      <c r="C14" s="60" t="s">
        <v>31</v>
      </c>
      <c r="D14" s="59" t="s">
        <v>33</v>
      </c>
      <c r="E14" s="59" t="s">
        <v>58</v>
      </c>
      <c r="F14" s="59" t="s">
        <v>59</v>
      </c>
      <c r="G14" s="59" t="s">
        <v>45</v>
      </c>
    </row>
    <row r="15" spans="1:7" x14ac:dyDescent="0.2">
      <c r="A15" s="7">
        <v>0.5</v>
      </c>
      <c r="B15" s="7">
        <v>50</v>
      </c>
      <c r="C15" s="9">
        <f>(B15-F15)/4</f>
        <v>12.5</v>
      </c>
      <c r="D15" s="7">
        <f>F15*0.05</f>
        <v>0</v>
      </c>
      <c r="E15" s="7">
        <f ca="1">(G15*0.1)/2</f>
        <v>0</v>
      </c>
      <c r="F15" s="7">
        <v>0</v>
      </c>
      <c r="G15" s="7">
        <f ca="1">G15+D15</f>
        <v>0</v>
      </c>
    </row>
    <row r="16" spans="1:7" x14ac:dyDescent="0.2">
      <c r="A16" s="7">
        <v>1</v>
      </c>
      <c r="B16" s="7">
        <v>50</v>
      </c>
      <c r="C16" s="9">
        <f t="shared" ref="C16:C66" ca="1" si="0">(B16-F16)/4</f>
        <v>10.9375</v>
      </c>
      <c r="D16" s="7">
        <f t="shared" ref="D16:D66" ca="1" si="1">F16*0.05</f>
        <v>0.3125</v>
      </c>
      <c r="E16" s="7">
        <f t="shared" ref="E16:E66" ca="1" si="2">(G16*0.1)/2</f>
        <v>7.621951219512195E-3</v>
      </c>
      <c r="F16" s="7">
        <f ca="1">F15+(C15/2)-(D15/2)+(E15/2)</f>
        <v>6.25</v>
      </c>
      <c r="G16" s="7">
        <f ca="1">G15+(D16/2)-(E16/2)</f>
        <v>0.1524390243902439</v>
      </c>
    </row>
    <row r="17" spans="1:7" x14ac:dyDescent="0.2">
      <c r="A17" s="7">
        <v>1.5</v>
      </c>
      <c r="B17" s="7">
        <v>50</v>
      </c>
      <c r="C17" s="9">
        <f t="shared" ca="1" si="0"/>
        <v>9.6084222560975618</v>
      </c>
      <c r="D17" s="7">
        <f t="shared" ca="1" si="1"/>
        <v>0.57831554878048785</v>
      </c>
      <c r="E17" s="7">
        <f t="shared" ca="1" si="2"/>
        <v>2.1541307257584776E-2</v>
      </c>
      <c r="F17" s="7">
        <f t="shared" ref="F17:F66" ca="1" si="3">F16+(C16/2)-(D16/2)+(E16/2)</f>
        <v>11.566310975609756</v>
      </c>
      <c r="G17" s="7">
        <f t="shared" ref="G17:G66" ca="1" si="4">G16+(D17/2)-(E17/2)</f>
        <v>0.43082614515169548</v>
      </c>
    </row>
    <row r="18" spans="1:7" x14ac:dyDescent="0.2">
      <c r="A18" s="7">
        <v>2</v>
      </c>
      <c r="B18" s="7">
        <v>50</v>
      </c>
      <c r="C18" s="9">
        <f t="shared" ca="1" si="0"/>
        <v>8.4769662542757285</v>
      </c>
      <c r="D18" s="7">
        <f t="shared" ca="1" si="1"/>
        <v>0.80460674914485431</v>
      </c>
      <c r="E18" s="7">
        <f t="shared" ca="1" si="2"/>
        <v>4.0640464376786478E-2</v>
      </c>
      <c r="F18" s="7">
        <f t="shared" ca="1" si="3"/>
        <v>16.092134982897086</v>
      </c>
      <c r="G18" s="7">
        <f t="shared" ca="1" si="4"/>
        <v>0.81280928753572934</v>
      </c>
    </row>
    <row r="19" spans="1:7" x14ac:dyDescent="0.2">
      <c r="A19" s="7">
        <v>2.5</v>
      </c>
      <c r="B19" s="7">
        <v>50</v>
      </c>
      <c r="C19" s="9">
        <f t="shared" ca="1" si="0"/>
        <v>7.5128412580872705</v>
      </c>
      <c r="D19" s="7">
        <f t="shared" ca="1" si="1"/>
        <v>0.99743174838254589</v>
      </c>
      <c r="E19" s="7">
        <f t="shared" ca="1" si="2"/>
        <v>6.3976837157414757E-2</v>
      </c>
      <c r="F19" s="7">
        <f t="shared" ca="1" si="3"/>
        <v>19.948634967650918</v>
      </c>
      <c r="G19" s="7">
        <f t="shared" ca="1" si="4"/>
        <v>1.2795367431482949</v>
      </c>
    </row>
    <row r="20" spans="1:7" x14ac:dyDescent="0.2">
      <c r="A20" s="7">
        <v>3</v>
      </c>
      <c r="B20" s="7">
        <v>50</v>
      </c>
      <c r="C20" s="9">
        <f t="shared" ca="1" si="0"/>
        <v>6.6904179647295035</v>
      </c>
      <c r="D20" s="7">
        <f t="shared" ca="1" si="1"/>
        <v>1.1619164070540993</v>
      </c>
      <c r="E20" s="7">
        <f t="shared" ca="1" si="2"/>
        <v>9.07558510573339E-2</v>
      </c>
      <c r="F20" s="7">
        <f t="shared" ca="1" si="3"/>
        <v>23.238328141081986</v>
      </c>
      <c r="G20" s="7">
        <f t="shared" ca="1" si="4"/>
        <v>1.8151170211466774</v>
      </c>
    </row>
    <row r="21" spans="1:7" x14ac:dyDescent="0.2">
      <c r="A21" s="7">
        <v>3.5</v>
      </c>
      <c r="B21" s="7">
        <v>50</v>
      </c>
      <c r="C21" s="9">
        <f t="shared" ca="1" si="0"/>
        <v>5.9880107886379115</v>
      </c>
      <c r="D21" s="7">
        <f t="shared" ca="1" si="1"/>
        <v>1.3023978422724178</v>
      </c>
      <c r="E21" s="7">
        <f t="shared" ca="1" si="2"/>
        <v>0.12030809474550669</v>
      </c>
      <c r="F21" s="7">
        <f t="shared" ca="1" si="3"/>
        <v>26.047956845448354</v>
      </c>
      <c r="G21" s="7">
        <f t="shared" ca="1" si="4"/>
        <v>2.4061618949101327</v>
      </c>
    </row>
    <row r="22" spans="1:7" x14ac:dyDescent="0.2">
      <c r="A22" s="7">
        <v>4</v>
      </c>
      <c r="B22" s="7">
        <v>50</v>
      </c>
      <c r="C22" s="9">
        <f t="shared" ca="1" si="0"/>
        <v>5.3872706584990375</v>
      </c>
      <c r="D22" s="7">
        <f t="shared" ca="1" si="1"/>
        <v>1.4225458683001926</v>
      </c>
      <c r="E22" s="7">
        <f t="shared" ca="1" si="2"/>
        <v>0.15206999166147461</v>
      </c>
      <c r="F22" s="7">
        <f t="shared" ca="1" si="3"/>
        <v>28.45091736600385</v>
      </c>
      <c r="G22" s="7">
        <f t="shared" ca="1" si="4"/>
        <v>3.0413998332294914</v>
      </c>
    </row>
    <row r="23" spans="1:7" x14ac:dyDescent="0.2">
      <c r="A23" s="7">
        <v>4.5</v>
      </c>
      <c r="B23" s="7">
        <v>50</v>
      </c>
      <c r="C23" s="9">
        <f t="shared" ca="1" si="0"/>
        <v>4.8726713107664974</v>
      </c>
      <c r="D23" s="7">
        <f t="shared" ca="1" si="1"/>
        <v>1.5254657378467007</v>
      </c>
      <c r="E23" s="7">
        <f t="shared" ca="1" si="2"/>
        <v>0.18556744888550453</v>
      </c>
      <c r="F23" s="7">
        <f t="shared" ca="1" si="3"/>
        <v>30.50931475693401</v>
      </c>
      <c r="G23" s="7">
        <f t="shared" ca="1" si="4"/>
        <v>3.7113489777100894</v>
      </c>
    </row>
    <row r="24" spans="1:7" x14ac:dyDescent="0.2">
      <c r="A24" s="7">
        <v>5</v>
      </c>
      <c r="B24" s="7">
        <v>50</v>
      </c>
      <c r="C24" s="9">
        <f t="shared" ca="1" si="0"/>
        <v>4.4310746830408352</v>
      </c>
      <c r="D24" s="7">
        <f t="shared" ca="1" si="1"/>
        <v>1.6137850633918331</v>
      </c>
      <c r="E24" s="7">
        <f t="shared" ca="1" si="2"/>
        <v>0.22040202484907351</v>
      </c>
      <c r="F24" s="7">
        <f t="shared" ca="1" si="3"/>
        <v>32.275701267836659</v>
      </c>
      <c r="G24" s="7">
        <f t="shared" ca="1" si="4"/>
        <v>4.408040496981469</v>
      </c>
    </row>
    <row r="25" spans="1:7" x14ac:dyDescent="0.2">
      <c r="A25" s="7">
        <v>5.5</v>
      </c>
      <c r="B25" s="7">
        <v>50</v>
      </c>
      <c r="C25" s="9">
        <f t="shared" ca="1" si="0"/>
        <v>4.0513632274785749</v>
      </c>
      <c r="D25" s="7">
        <f t="shared" ca="1" si="1"/>
        <v>1.689727354504285</v>
      </c>
      <c r="E25" s="7">
        <f t="shared" ca="1" si="2"/>
        <v>0.25623922801139576</v>
      </c>
      <c r="F25" s="7">
        <f t="shared" ca="1" si="3"/>
        <v>33.7945470900857</v>
      </c>
      <c r="G25" s="7">
        <f t="shared" ca="1" si="4"/>
        <v>5.1247845602279138</v>
      </c>
    </row>
    <row r="26" spans="1:7" x14ac:dyDescent="0.2">
      <c r="A26" s="7">
        <v>6</v>
      </c>
      <c r="B26" s="7">
        <v>50</v>
      </c>
      <c r="C26" s="9">
        <f t="shared" ca="1" si="0"/>
        <v>3.7241288398553642</v>
      </c>
      <c r="D26" s="7">
        <f t="shared" ca="1" si="1"/>
        <v>1.7551742320289272</v>
      </c>
      <c r="E26" s="7">
        <f t="shared" ca="1" si="2"/>
        <v>0.2927986183532868</v>
      </c>
      <c r="F26" s="7">
        <f t="shared" ca="1" si="3"/>
        <v>35.103484640578543</v>
      </c>
      <c r="G26" s="7">
        <f t="shared" ca="1" si="4"/>
        <v>5.8559723670657347</v>
      </c>
    </row>
    <row r="27" spans="1:7" x14ac:dyDescent="0.2">
      <c r="A27" s="7">
        <v>6.5</v>
      </c>
      <c r="B27" s="7">
        <v>50</v>
      </c>
      <c r="C27" s="9">
        <f t="shared" ca="1" si="0"/>
        <v>3.4414096865828974</v>
      </c>
      <c r="D27" s="7">
        <f t="shared" ca="1" si="1"/>
        <v>1.8117180626834206</v>
      </c>
      <c r="E27" s="7">
        <f t="shared" ca="1" si="2"/>
        <v>0.32984543406865591</v>
      </c>
      <c r="F27" s="7">
        <f t="shared" ca="1" si="3"/>
        <v>36.234361253668411</v>
      </c>
      <c r="G27" s="7">
        <f t="shared" ca="1" si="4"/>
        <v>6.596908681373117</v>
      </c>
    </row>
    <row r="28" spans="1:7" x14ac:dyDescent="0.2">
      <c r="A28" s="7">
        <v>7</v>
      </c>
      <c r="B28" s="7">
        <v>50</v>
      </c>
      <c r="C28" s="9">
        <f t="shared" ca="1" si="0"/>
        <v>3.1964675543368806</v>
      </c>
      <c r="D28" s="7">
        <f t="shared" ca="1" si="1"/>
        <v>1.8607064891326239</v>
      </c>
      <c r="E28" s="7">
        <f t="shared" ca="1" si="2"/>
        <v>0.36718350858241128</v>
      </c>
      <c r="F28" s="7">
        <f t="shared" ca="1" si="3"/>
        <v>37.214129782652478</v>
      </c>
      <c r="G28" s="7">
        <f t="shared" ca="1" si="4"/>
        <v>7.343670171648224</v>
      </c>
    </row>
    <row r="29" spans="1:7" x14ac:dyDescent="0.2">
      <c r="A29" s="7">
        <v>7.5</v>
      </c>
      <c r="B29" s="7">
        <v>50</v>
      </c>
      <c r="C29" s="9">
        <f t="shared" ca="1" si="0"/>
        <v>2.9835994826135472</v>
      </c>
      <c r="D29" s="7">
        <f t="shared" ca="1" si="1"/>
        <v>1.9032801034772906</v>
      </c>
      <c r="E29" s="7">
        <f t="shared" ca="1" si="2"/>
        <v>0.40464927918960347</v>
      </c>
      <c r="F29" s="7">
        <f t="shared" ca="1" si="3"/>
        <v>38.065602069545811</v>
      </c>
      <c r="G29" s="7">
        <f t="shared" ca="1" si="4"/>
        <v>8.0929855837920677</v>
      </c>
    </row>
    <row r="30" spans="1:7" x14ac:dyDescent="0.2">
      <c r="A30" s="7">
        <v>8</v>
      </c>
      <c r="B30" s="7">
        <v>50</v>
      </c>
      <c r="C30" s="9">
        <f t="shared" ca="1" si="0"/>
        <v>2.7979784003228154</v>
      </c>
      <c r="D30" s="7">
        <f t="shared" ca="1" si="1"/>
        <v>1.940404319935437</v>
      </c>
      <c r="E30" s="7">
        <f t="shared" ca="1" si="2"/>
        <v>0.44210671920779454</v>
      </c>
      <c r="F30" s="7">
        <f t="shared" ca="1" si="3"/>
        <v>38.808086398708738</v>
      </c>
      <c r="G30" s="7">
        <f t="shared" ca="1" si="4"/>
        <v>8.8421343841558873</v>
      </c>
    </row>
    <row r="31" spans="1:7" x14ac:dyDescent="0.2">
      <c r="A31" s="7">
        <v>8.5</v>
      </c>
      <c r="B31" s="7">
        <v>50</v>
      </c>
      <c r="C31" s="9">
        <f t="shared" ca="1" si="0"/>
        <v>2.6355183003734179</v>
      </c>
      <c r="D31" s="7">
        <f t="shared" ca="1" si="1"/>
        <v>1.9728963399253165</v>
      </c>
      <c r="E31" s="7">
        <f t="shared" ca="1" si="2"/>
        <v>0.47944305142041704</v>
      </c>
      <c r="F31" s="7">
        <f t="shared" ca="1" si="3"/>
        <v>39.457926798506328</v>
      </c>
      <c r="G31" s="7">
        <f t="shared" ca="1" si="4"/>
        <v>9.5888610284083367</v>
      </c>
    </row>
    <row r="32" spans="1:7" x14ac:dyDescent="0.2">
      <c r="A32" s="7">
        <v>9</v>
      </c>
      <c r="B32" s="7">
        <v>50</v>
      </c>
      <c r="C32" s="9">
        <f t="shared" ca="1" si="0"/>
        <v>2.4927601738898524</v>
      </c>
      <c r="D32" s="7">
        <f t="shared" ca="1" si="1"/>
        <v>2.0014479652220296</v>
      </c>
      <c r="E32" s="7">
        <f t="shared" ca="1" si="2"/>
        <v>0.51656512248874908</v>
      </c>
      <c r="F32" s="7">
        <f t="shared" ca="1" si="3"/>
        <v>40.02895930444059</v>
      </c>
      <c r="G32" s="7">
        <f t="shared" ca="1" si="4"/>
        <v>10.331302449774977</v>
      </c>
    </row>
    <row r="33" spans="1:7" x14ac:dyDescent="0.2">
      <c r="A33" s="7">
        <v>9.5</v>
      </c>
      <c r="B33" s="7">
        <v>50</v>
      </c>
      <c r="C33" s="9">
        <f t="shared" ca="1" si="0"/>
        <v>2.3667755074952819</v>
      </c>
      <c r="D33" s="7">
        <f t="shared" ca="1" si="1"/>
        <v>2.0266448985009435</v>
      </c>
      <c r="E33" s="7">
        <f t="shared" ca="1" si="2"/>
        <v>0.55339633653782705</v>
      </c>
      <c r="F33" s="7">
        <f t="shared" ca="1" si="3"/>
        <v>40.532897970018873</v>
      </c>
      <c r="G33" s="7">
        <f t="shared" ca="1" si="4"/>
        <v>11.067926730756536</v>
      </c>
    </row>
    <row r="34" spans="1:7" x14ac:dyDescent="0.2">
      <c r="A34" s="7">
        <v>10</v>
      </c>
      <c r="B34" s="7">
        <v>50</v>
      </c>
      <c r="C34" s="9">
        <f t="shared" ca="1" si="0"/>
        <v>2.255084639303762</v>
      </c>
      <c r="D34" s="7">
        <f t="shared" ca="1" si="1"/>
        <v>2.0489830721392477</v>
      </c>
      <c r="E34" s="7">
        <f t="shared" ca="1" si="2"/>
        <v>0.58987406179639823</v>
      </c>
      <c r="F34" s="7">
        <f t="shared" ca="1" si="3"/>
        <v>40.979661442784952</v>
      </c>
      <c r="G34" s="7">
        <f t="shared" ca="1" si="4"/>
        <v>11.797481235927961</v>
      </c>
    </row>
    <row r="35" spans="1:7" x14ac:dyDescent="0.2">
      <c r="A35" s="7">
        <v>10.5</v>
      </c>
      <c r="B35" s="7">
        <v>50</v>
      </c>
      <c r="C35" s="9">
        <f t="shared" ca="1" si="0"/>
        <v>2.1555876856836491</v>
      </c>
      <c r="D35" s="7">
        <f t="shared" ca="1" si="1"/>
        <v>2.0688824628632703</v>
      </c>
      <c r="E35" s="7">
        <f t="shared" ca="1" si="2"/>
        <v>0.62594743743217574</v>
      </c>
      <c r="F35" s="7">
        <f t="shared" ca="1" si="3"/>
        <v>41.377649257265404</v>
      </c>
      <c r="G35" s="7">
        <f t="shared" ca="1" si="4"/>
        <v>12.51894874864351</v>
      </c>
    </row>
    <row r="36" spans="1:7" x14ac:dyDescent="0.2">
      <c r="A36" s="7">
        <v>11</v>
      </c>
      <c r="B36" s="7">
        <v>50</v>
      </c>
      <c r="C36" s="9">
        <f t="shared" ca="1" si="0"/>
        <v>2.0665061031520793</v>
      </c>
      <c r="D36" s="7">
        <f t="shared" ca="1" si="1"/>
        <v>2.0866987793695841</v>
      </c>
      <c r="E36" s="7">
        <f t="shared" ca="1" si="2"/>
        <v>0.66157551894284428</v>
      </c>
      <c r="F36" s="7">
        <f t="shared" ca="1" si="3"/>
        <v>41.733975587391683</v>
      </c>
      <c r="G36" s="7">
        <f t="shared" ca="1" si="4"/>
        <v>13.23151037885688</v>
      </c>
    </row>
    <row r="37" spans="1:7" x14ac:dyDescent="0.2">
      <c r="A37" s="7">
        <v>11.5</v>
      </c>
      <c r="B37" s="7">
        <v>50</v>
      </c>
      <c r="C37" s="9">
        <f t="shared" ca="1" si="0"/>
        <v>1.9863332478114124</v>
      </c>
      <c r="D37" s="7">
        <f t="shared" ca="1" si="1"/>
        <v>2.1027333504377177</v>
      </c>
      <c r="E37" s="7">
        <f t="shared" ca="1" si="2"/>
        <v>0.69672570995491423</v>
      </c>
      <c r="F37" s="7">
        <f t="shared" ca="1" si="3"/>
        <v>42.05466700875435</v>
      </c>
      <c r="G37" s="7">
        <f t="shared" ca="1" si="4"/>
        <v>13.934514199098281</v>
      </c>
    </row>
    <row r="38" spans="1:7" x14ac:dyDescent="0.2">
      <c r="A38" s="7">
        <v>12</v>
      </c>
      <c r="B38" s="7">
        <v>50</v>
      </c>
      <c r="C38" s="9">
        <f t="shared" ca="1" si="0"/>
        <v>1.9137925468953352</v>
      </c>
      <c r="D38" s="7">
        <f t="shared" ca="1" si="1"/>
        <v>2.1172414906209331</v>
      </c>
      <c r="E38" s="7">
        <f t="shared" ca="1" si="2"/>
        <v>0.73137243631262205</v>
      </c>
      <c r="F38" s="7">
        <f t="shared" ca="1" si="3"/>
        <v>42.344829812418659</v>
      </c>
      <c r="G38" s="7">
        <f t="shared" ca="1" si="4"/>
        <v>14.627448726252437</v>
      </c>
    </row>
    <row r="39" spans="1:7" x14ac:dyDescent="0.2">
      <c r="A39" s="7">
        <v>12.5</v>
      </c>
      <c r="B39" s="7">
        <v>50</v>
      </c>
      <c r="C39" s="9">
        <f t="shared" ca="1" si="0"/>
        <v>1.8478021103219557</v>
      </c>
      <c r="D39" s="7">
        <f t="shared" ca="1" si="1"/>
        <v>2.1304395779356091</v>
      </c>
      <c r="E39" s="7">
        <f t="shared" ca="1" si="2"/>
        <v>0.7654960251326951</v>
      </c>
      <c r="F39" s="7">
        <f t="shared" ca="1" si="3"/>
        <v>42.608791558712177</v>
      </c>
      <c r="G39" s="7">
        <f t="shared" ca="1" si="4"/>
        <v>15.309920502653894</v>
      </c>
    </row>
    <row r="40" spans="1:7" x14ac:dyDescent="0.2">
      <c r="A40" s="7">
        <v>13</v>
      </c>
      <c r="B40" s="7">
        <v>50</v>
      </c>
      <c r="C40" s="9">
        <f t="shared" ca="1" si="0"/>
        <v>1.7874447906320796</v>
      </c>
      <c r="D40" s="7">
        <f t="shared" ca="1" si="1"/>
        <v>2.142511041873584</v>
      </c>
      <c r="E40" s="7">
        <f t="shared" ca="1" si="2"/>
        <v>0.79908175724832731</v>
      </c>
      <c r="F40" s="7">
        <f t="shared" ca="1" si="3"/>
        <v>42.850220837471696</v>
      </c>
      <c r="G40" s="7">
        <f t="shared" ca="1" si="4"/>
        <v>15.981635144966523</v>
      </c>
    </row>
    <row r="41" spans="1:7" x14ac:dyDescent="0.2">
      <c r="A41" s="7">
        <v>13.5</v>
      </c>
      <c r="B41" s="7">
        <v>50</v>
      </c>
      <c r="C41" s="9">
        <f t="shared" ca="1" si="0"/>
        <v>1.7319428523812395</v>
      </c>
      <c r="D41" s="7">
        <f t="shared" ca="1" si="1"/>
        <v>2.1536114295237523</v>
      </c>
      <c r="E41" s="7">
        <f t="shared" ca="1" si="2"/>
        <v>0.83211906632821864</v>
      </c>
      <c r="F41" s="7">
        <f t="shared" ca="1" si="3"/>
        <v>43.072228590475106</v>
      </c>
      <c r="G41" s="7">
        <f t="shared" ca="1" si="4"/>
        <v>16.642381326564291</v>
      </c>
    </row>
    <row r="42" spans="1:7" x14ac:dyDescent="0.2">
      <c r="A42" s="7">
        <v>14</v>
      </c>
      <c r="B42" s="7">
        <v>50</v>
      </c>
      <c r="C42" s="9">
        <f t="shared" ca="1" si="0"/>
        <v>1.6806365412330777</v>
      </c>
      <c r="D42" s="7">
        <f t="shared" ca="1" si="1"/>
        <v>2.1638726917533844</v>
      </c>
      <c r="E42" s="7">
        <f t="shared" ca="1" si="2"/>
        <v>0.86460086207030562</v>
      </c>
      <c r="F42" s="7">
        <f t="shared" ca="1" si="3"/>
        <v>43.277453835067959</v>
      </c>
      <c r="G42" s="7">
        <f t="shared" ca="1" si="4"/>
        <v>17.29201724140583</v>
      </c>
    </row>
    <row r="43" spans="1:7" x14ac:dyDescent="0.2">
      <c r="A43" s="7">
        <v>14.5</v>
      </c>
      <c r="B43" s="7">
        <v>50</v>
      </c>
      <c r="C43" s="9">
        <f t="shared" ca="1" si="0"/>
        <v>1.6329659522895099</v>
      </c>
      <c r="D43" s="7">
        <f t="shared" ca="1" si="1"/>
        <v>2.1734068095420982</v>
      </c>
      <c r="E43" s="7">
        <f t="shared" ca="1" si="2"/>
        <v>0.89652295835013618</v>
      </c>
      <c r="F43" s="7">
        <f t="shared" ca="1" si="3"/>
        <v>43.468136190842955</v>
      </c>
      <c r="G43" s="7">
        <f t="shared" ca="1" si="4"/>
        <v>17.930459167001814</v>
      </c>
    </row>
    <row r="44" spans="1:7" x14ac:dyDescent="0.2">
      <c r="A44" s="7">
        <v>15</v>
      </c>
      <c r="B44" s="7">
        <v>50</v>
      </c>
      <c r="C44" s="9">
        <f t="shared" ca="1" si="0"/>
        <v>1.5884556896529087</v>
      </c>
      <c r="D44" s="7">
        <f t="shared" ca="1" si="1"/>
        <v>2.1823088620694184</v>
      </c>
      <c r="E44" s="7">
        <f t="shared" ca="1" si="2"/>
        <v>0.92788359014825983</v>
      </c>
      <c r="F44" s="7">
        <f t="shared" ca="1" si="3"/>
        <v>43.646177241391726</v>
      </c>
      <c r="G44" s="7">
        <f t="shared" ca="1" si="4"/>
        <v>18.557671802962393</v>
      </c>
    </row>
    <row r="45" spans="1:7" x14ac:dyDescent="0.2">
      <c r="A45" s="7">
        <v>15.5</v>
      </c>
      <c r="B45" s="7">
        <v>50</v>
      </c>
      <c r="C45" s="9">
        <f t="shared" ca="1" si="0"/>
        <v>1.5467018874382639</v>
      </c>
      <c r="D45" s="7">
        <f t="shared" ca="1" si="1"/>
        <v>2.1906596225123471</v>
      </c>
      <c r="E45" s="7">
        <f t="shared" ca="1" si="2"/>
        <v>0.95868300557203934</v>
      </c>
      <c r="F45" s="7">
        <f t="shared" ca="1" si="3"/>
        <v>43.813192450257596</v>
      </c>
      <c r="G45" s="7">
        <f t="shared" ca="1" si="4"/>
        <v>19.173660111432547</v>
      </c>
    </row>
    <row r="46" spans="1:7" x14ac:dyDescent="0.2">
      <c r="A46" s="7">
        <v>16</v>
      </c>
      <c r="B46" s="7">
        <v>50</v>
      </c>
      <c r="C46" s="9">
        <f t="shared" ca="1" si="0"/>
        <v>1.5073612286313622</v>
      </c>
      <c r="D46" s="7">
        <f t="shared" ca="1" si="1"/>
        <v>2.1985277542737278</v>
      </c>
      <c r="E46" s="7">
        <f t="shared" ca="1" si="2"/>
        <v>0.98892312139476035</v>
      </c>
      <c r="F46" s="7">
        <f t="shared" ca="1" si="3"/>
        <v>43.970555085506575</v>
      </c>
      <c r="G46" s="7">
        <f t="shared" ca="1" si="4"/>
        <v>19.778462427872029</v>
      </c>
    </row>
    <row r="47" spans="1:7" x14ac:dyDescent="0.2">
      <c r="A47" s="7">
        <v>16.5</v>
      </c>
      <c r="B47" s="7">
        <v>50</v>
      </c>
      <c r="C47" s="9">
        <f t="shared" ca="1" si="0"/>
        <v>1.4701416541772705</v>
      </c>
      <c r="D47" s="7">
        <f t="shared" ca="1" si="1"/>
        <v>2.2059716691645459</v>
      </c>
      <c r="E47" s="7">
        <f t="shared" ca="1" si="2"/>
        <v>1.0186072323178978</v>
      </c>
      <c r="F47" s="7">
        <f t="shared" ca="1" si="3"/>
        <v>44.119433383382777</v>
      </c>
      <c r="G47" s="7">
        <f t="shared" ca="1" si="4"/>
        <v>20.372144646295354</v>
      </c>
    </row>
    <row r="48" spans="1:7" x14ac:dyDescent="0.2">
      <c r="A48" s="7">
        <v>17</v>
      </c>
      <c r="B48" s="7">
        <v>50</v>
      </c>
      <c r="C48" s="9">
        <f t="shared" ca="1" si="0"/>
        <v>1.4347945020510711</v>
      </c>
      <c r="D48" s="7">
        <f t="shared" ca="1" si="1"/>
        <v>2.2130410995897858</v>
      </c>
      <c r="E48" s="7">
        <f t="shared" ca="1" si="2"/>
        <v>1.0477397656708785</v>
      </c>
      <c r="F48" s="7">
        <f t="shared" ca="1" si="3"/>
        <v>44.260821992048093</v>
      </c>
      <c r="G48" s="7">
        <f t="shared" ca="1" si="4"/>
        <v>20.954795313254809</v>
      </c>
    </row>
    <row r="49" spans="1:7" x14ac:dyDescent="0.2">
      <c r="A49" s="7">
        <v>17.5</v>
      </c>
      <c r="B49" s="7">
        <v>50</v>
      </c>
      <c r="C49" s="9">
        <f t="shared" ca="1" si="0"/>
        <v>1.4011078561380028</v>
      </c>
      <c r="D49" s="7">
        <f t="shared" ca="1" si="1"/>
        <v>2.2197784287723996</v>
      </c>
      <c r="E49" s="7">
        <f t="shared" ca="1" si="2"/>
        <v>1.0763260745389907</v>
      </c>
      <c r="F49" s="7">
        <f t="shared" ca="1" si="3"/>
        <v>44.395568576114179</v>
      </c>
      <c r="G49" s="7">
        <f t="shared" ca="1" si="4"/>
        <v>21.526521490371515</v>
      </c>
    </row>
    <row r="50" spans="1:7" x14ac:dyDescent="0.2">
      <c r="A50" s="7">
        <v>18</v>
      </c>
      <c r="B50" s="7">
        <v>50</v>
      </c>
      <c r="C50" s="9">
        <f t="shared" ca="1" si="0"/>
        <v>1.3689009186569177</v>
      </c>
      <c r="D50" s="7">
        <f t="shared" ca="1" si="1"/>
        <v>2.2262198162686166</v>
      </c>
      <c r="E50" s="7">
        <f t="shared" ca="1" si="2"/>
        <v>1.1043722633900612</v>
      </c>
      <c r="F50" s="7">
        <f t="shared" ca="1" si="3"/>
        <v>44.524396327066476</v>
      </c>
      <c r="G50" s="7">
        <f t="shared" ca="1" si="4"/>
        <v>22.087445266810793</v>
      </c>
    </row>
    <row r="51" spans="1:7" x14ac:dyDescent="0.2">
      <c r="A51" s="7">
        <v>18.5</v>
      </c>
      <c r="B51" s="7">
        <v>50</v>
      </c>
      <c r="C51" s="9">
        <f t="shared" ca="1" si="0"/>
        <v>1.3380192485512303</v>
      </c>
      <c r="D51" s="7">
        <f t="shared" ca="1" si="1"/>
        <v>2.232396150289754</v>
      </c>
      <c r="E51" s="7">
        <f t="shared" ca="1" si="2"/>
        <v>1.1318850411845716</v>
      </c>
      <c r="F51" s="7">
        <f t="shared" ca="1" si="3"/>
        <v>44.647923009955662</v>
      </c>
      <c r="G51" s="7">
        <f t="shared" ca="1" si="4"/>
        <v>22.637700821363381</v>
      </c>
    </row>
    <row r="52" spans="1:7" x14ac:dyDescent="0.2">
      <c r="A52" s="7">
        <v>19</v>
      </c>
      <c r="B52" s="7">
        <v>50</v>
      </c>
      <c r="C52" s="9">
        <f t="shared" ca="1" si="0"/>
        <v>1.3083307325527205</v>
      </c>
      <c r="D52" s="7">
        <f t="shared" ca="1" si="1"/>
        <v>2.2383338534894559</v>
      </c>
      <c r="E52" s="7">
        <f t="shared" ca="1" si="2"/>
        <v>1.1588715977278472</v>
      </c>
      <c r="F52" s="7">
        <f t="shared" ca="1" si="3"/>
        <v>44.766677079678686</v>
      </c>
      <c r="G52" s="7">
        <f t="shared" ca="1" si="4"/>
        <v>23.177431949244188</v>
      </c>
    </row>
    <row r="53" spans="1:7" x14ac:dyDescent="0.2">
      <c r="A53" s="7">
        <v>19.5</v>
      </c>
      <c r="B53" s="7">
        <v>50</v>
      </c>
      <c r="C53" s="9">
        <f t="shared" ca="1" si="0"/>
        <v>1.2797221761812452</v>
      </c>
      <c r="D53" s="7">
        <f t="shared" ca="1" si="1"/>
        <v>2.2440555647637512</v>
      </c>
      <c r="E53" s="7">
        <f t="shared" ca="1" si="2"/>
        <v>1.1853394996789306</v>
      </c>
      <c r="F53" s="7">
        <f t="shared" ca="1" si="3"/>
        <v>44.881111318074247</v>
      </c>
      <c r="G53" s="7">
        <f t="shared" ca="1" si="4"/>
        <v>23.706789981786596</v>
      </c>
    </row>
    <row r="54" spans="1:7" x14ac:dyDescent="0.2">
      <c r="A54" s="7">
        <v>20</v>
      </c>
      <c r="B54" s="7">
        <v>50</v>
      </c>
      <c r="C54" s="9">
        <f t="shared" ca="1" si="0"/>
        <v>1.2520964193633031</v>
      </c>
      <c r="D54" s="7">
        <f t="shared" ca="1" si="1"/>
        <v>2.2495807161273396</v>
      </c>
      <c r="E54" s="7">
        <f t="shared" ca="1" si="2"/>
        <v>1.211296603187761</v>
      </c>
      <c r="F54" s="7">
        <f t="shared" ca="1" si="3"/>
        <v>44.991614373622461</v>
      </c>
      <c r="G54" s="7">
        <f t="shared" ca="1" si="4"/>
        <v>24.225932038256385</v>
      </c>
    </row>
    <row r="55" spans="1:7" x14ac:dyDescent="0.2">
      <c r="A55" s="7">
        <v>20.5</v>
      </c>
      <c r="B55" s="7">
        <v>50</v>
      </c>
      <c r="C55" s="9">
        <f t="shared" ca="1" si="0"/>
        <v>1.2253698961377477</v>
      </c>
      <c r="D55" s="7">
        <f t="shared" ca="1" si="1"/>
        <v>2.2549260207724506</v>
      </c>
      <c r="E55" s="7">
        <f t="shared" ca="1" si="2"/>
        <v>1.2367509806069883</v>
      </c>
      <c r="F55" s="7">
        <f t="shared" ca="1" si="3"/>
        <v>45.098520526834321</v>
      </c>
      <c r="G55" s="7">
        <f t="shared" ca="1" si="4"/>
        <v>24.735019558339118</v>
      </c>
    </row>
    <row r="56" spans="1:7" x14ac:dyDescent="0.2">
      <c r="A56" s="7">
        <v>21</v>
      </c>
      <c r="B56" s="7">
        <v>50</v>
      </c>
      <c r="C56" s="9">
        <f t="shared" ca="1" si="0"/>
        <v>1.1994705705070281</v>
      </c>
      <c r="D56" s="7">
        <f t="shared" ca="1" si="1"/>
        <v>2.2601058858985943</v>
      </c>
      <c r="E56" s="7">
        <f t="shared" ca="1" si="2"/>
        <v>1.2617108591321147</v>
      </c>
      <c r="F56" s="7">
        <f t="shared" ca="1" si="3"/>
        <v>45.202117954820466</v>
      </c>
      <c r="G56" s="7">
        <f t="shared" ca="1" si="4"/>
        <v>25.234217071722359</v>
      </c>
    </row>
    <row r="57" spans="1:7" x14ac:dyDescent="0.2">
      <c r="A57" s="7">
        <v>21.5</v>
      </c>
      <c r="B57" s="7">
        <v>50</v>
      </c>
      <c r="C57" s="9">
        <f t="shared" ca="1" si="0"/>
        <v>1.1743361912796022</v>
      </c>
      <c r="D57" s="7">
        <f t="shared" ca="1" si="1"/>
        <v>2.2651327617440797</v>
      </c>
      <c r="E57" s="7">
        <f t="shared" ca="1" si="2"/>
        <v>1.2861845695777028</v>
      </c>
      <c r="F57" s="7">
        <f t="shared" ca="1" si="3"/>
        <v>45.302655726690737</v>
      </c>
      <c r="G57" s="7">
        <f t="shared" ca="1" si="4"/>
        <v>25.723691167805548</v>
      </c>
    </row>
    <row r="58" spans="1:7" x14ac:dyDescent="0.2">
      <c r="A58" s="7">
        <v>22</v>
      </c>
      <c r="B58" s="7">
        <v>50</v>
      </c>
      <c r="C58" s="9">
        <f t="shared" ca="1" si="0"/>
        <v>1.1499128180977358</v>
      </c>
      <c r="D58" s="7">
        <f t="shared" ca="1" si="1"/>
        <v>2.2700174363804528</v>
      </c>
      <c r="E58" s="7">
        <f t="shared" ca="1" si="2"/>
        <v>1.310180503811976</v>
      </c>
      <c r="F58" s="7">
        <f t="shared" ca="1" si="3"/>
        <v>45.400349726247349</v>
      </c>
      <c r="G58" s="7">
        <f t="shared" ca="1" si="4"/>
        <v>26.203609634089787</v>
      </c>
    </row>
    <row r="59" spans="1:7" x14ac:dyDescent="0.2">
      <c r="A59" s="7">
        <v>22.5</v>
      </c>
      <c r="B59" s="7">
        <v>50</v>
      </c>
      <c r="C59" s="9">
        <f t="shared" ca="1" si="0"/>
        <v>1.1261535791124526</v>
      </c>
      <c r="D59" s="7">
        <f t="shared" ca="1" si="1"/>
        <v>2.2747692841775096</v>
      </c>
      <c r="E59" s="7">
        <f t="shared" ca="1" si="2"/>
        <v>1.3337070796621437</v>
      </c>
      <c r="F59" s="7">
        <f t="shared" ca="1" si="3"/>
        <v>45.495387669011976</v>
      </c>
      <c r="G59" s="7">
        <f t="shared" ca="1" si="4"/>
        <v>26.674140736347471</v>
      </c>
    </row>
    <row r="60" spans="1:7" x14ac:dyDescent="0.2">
      <c r="A60" s="7">
        <v>23</v>
      </c>
      <c r="B60" s="7">
        <v>50</v>
      </c>
      <c r="C60" s="9">
        <f t="shared" ca="1" si="0"/>
        <v>1.1030176283300168</v>
      </c>
      <c r="D60" s="7">
        <f t="shared" ca="1" si="1"/>
        <v>2.2793964743339967</v>
      </c>
      <c r="E60" s="7">
        <f t="shared" ca="1" si="2"/>
        <v>1.3567727123852262</v>
      </c>
      <c r="F60" s="7">
        <f t="shared" ca="1" si="3"/>
        <v>45.587933356310522</v>
      </c>
      <c r="G60" s="7">
        <f t="shared" ca="1" si="4"/>
        <v>27.135452617321857</v>
      </c>
    </row>
    <row r="61" spans="1:7" x14ac:dyDescent="0.2">
      <c r="A61" s="7">
        <v>23.5</v>
      </c>
      <c r="B61" s="7">
        <v>50</v>
      </c>
      <c r="C61" s="9">
        <f t="shared" ca="1" si="0"/>
        <v>1.0804692779404341</v>
      </c>
      <c r="D61" s="7">
        <f t="shared" ca="1" si="1"/>
        <v>2.2839061444119131</v>
      </c>
      <c r="E61" s="7">
        <f t="shared" ca="1" si="2"/>
        <v>1.3793857920951662</v>
      </c>
      <c r="F61" s="7">
        <f t="shared" ca="1" si="3"/>
        <v>45.678130289501148</v>
      </c>
      <c r="G61" s="7">
        <f t="shared" ca="1" si="4"/>
        <v>27.587712793480232</v>
      </c>
    </row>
    <row r="62" spans="1:7" x14ac:dyDescent="0.2">
      <c r="A62" s="7">
        <v>24</v>
      </c>
      <c r="B62" s="7">
        <v>50</v>
      </c>
      <c r="C62" s="9">
        <f t="shared" ca="1" si="0"/>
        <v>1.0584772884711136</v>
      </c>
      <c r="D62" s="7">
        <f t="shared" ca="1" si="1"/>
        <v>2.2883045423057773</v>
      </c>
      <c r="E62" s="7">
        <f t="shared" ca="1" si="2"/>
        <v>1.4015546668739427</v>
      </c>
      <c r="F62" s="7">
        <f t="shared" ca="1" si="3"/>
        <v>45.766104752312991</v>
      </c>
      <c r="G62" s="7">
        <f t="shared" ca="1" si="4"/>
        <v>28.031087731196148</v>
      </c>
    </row>
    <row r="63" spans="1:7" x14ac:dyDescent="0.2">
      <c r="A63" s="7">
        <v>24.5</v>
      </c>
      <c r="B63" s="7">
        <v>50</v>
      </c>
      <c r="C63" s="9">
        <f t="shared" ca="1" si="0"/>
        <v>1.0370143080631458</v>
      </c>
      <c r="D63" s="7">
        <f t="shared" ca="1" si="1"/>
        <v>2.2925971383873711</v>
      </c>
      <c r="E63" s="7">
        <f t="shared" ca="1" si="2"/>
        <v>1.4232876317091354</v>
      </c>
      <c r="F63" s="7">
        <f t="shared" ca="1" si="3"/>
        <v>45.85196845883263</v>
      </c>
      <c r="G63" s="7">
        <f t="shared" ca="1" si="4"/>
        <v>28.465742484535266</v>
      </c>
    </row>
    <row r="64" spans="1:7" x14ac:dyDescent="0.2">
      <c r="A64" s="7">
        <v>25</v>
      </c>
      <c r="B64" s="7">
        <v>50</v>
      </c>
      <c r="C64" s="9">
        <f t="shared" ca="1" si="0"/>
        <v>1.0160564624481463</v>
      </c>
      <c r="D64" s="7">
        <f t="shared" ca="1" si="1"/>
        <v>2.296788707510371</v>
      </c>
      <c r="E64" s="7">
        <f t="shared" ca="1" si="2"/>
        <v>1.4445929239433748</v>
      </c>
      <c r="F64" s="7">
        <f t="shared" ca="1" si="3"/>
        <v>45.935820859525087</v>
      </c>
      <c r="G64" s="7">
        <f t="shared" ca="1" si="4"/>
        <v>28.891840376318765</v>
      </c>
    </row>
    <row r="65" spans="1:7" x14ac:dyDescent="0.2">
      <c r="A65" s="7">
        <v>25.5</v>
      </c>
      <c r="B65" s="7">
        <v>50</v>
      </c>
      <c r="C65" s="9">
        <f t="shared" ca="1" si="0"/>
        <v>0.99558311054742177</v>
      </c>
      <c r="D65" s="7">
        <f t="shared" ca="1" si="1"/>
        <v>2.3008833778905156</v>
      </c>
      <c r="E65" s="7">
        <f t="shared" ca="1" si="2"/>
        <v>1.4654787266621443</v>
      </c>
      <c r="F65" s="7">
        <f t="shared" ca="1" si="3"/>
        <v>46.017751198965662</v>
      </c>
      <c r="G65" s="7">
        <f t="shared" ca="1" si="4"/>
        <v>29.309542701932951</v>
      </c>
    </row>
    <row r="66" spans="1:7" x14ac:dyDescent="0.2">
      <c r="A66" s="7">
        <v>26</v>
      </c>
      <c r="B66" s="7">
        <v>50</v>
      </c>
      <c r="C66" s="9">
        <f t="shared" ca="1" si="0"/>
        <v>0.97557679873065162</v>
      </c>
      <c r="D66" s="7">
        <f t="shared" ca="1" si="1"/>
        <v>2.3048846402538699</v>
      </c>
      <c r="E66" s="7">
        <f t="shared" ca="1" si="2"/>
        <v>1.4859531824819792</v>
      </c>
      <c r="F66" s="7">
        <f t="shared" ca="1" si="3"/>
        <v>46.09784042862519</v>
      </c>
      <c r="G66" s="7">
        <f t="shared" ca="1" si="4"/>
        <v>29.719008430818896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Pi E  1</vt:lpstr>
      <vt:lpstr>WALLIS</vt:lpstr>
      <vt:lpstr>LEIBINZ</vt:lpstr>
      <vt:lpstr>EULER</vt:lpstr>
      <vt:lpstr>PUNTO2</vt:lpstr>
      <vt:lpstr>SIMULACION CONTINUA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Microsoft Office User</cp:lastModifiedBy>
  <cp:revision/>
  <dcterms:created xsi:type="dcterms:W3CDTF">2020-04-18T21:48:04Z</dcterms:created>
  <dcterms:modified xsi:type="dcterms:W3CDTF">2020-04-23T04:23:43Z</dcterms:modified>
  <cp:category/>
  <cp:contentStatus/>
</cp:coreProperties>
</file>